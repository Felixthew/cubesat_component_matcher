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a788a3c7ad859f/Documents/component_data_TEST/"/>
    </mc:Choice>
  </mc:AlternateContent>
  <xr:revisionPtr revIDLastSave="0" documentId="8_{B7739D5B-3929-4351-9C9A-D91989A197D5}" xr6:coauthVersionLast="47" xr6:coauthVersionMax="47" xr10:uidLastSave="{00000000-0000-0000-0000-000000000000}"/>
  <bookViews>
    <workbookView xWindow="-120" yWindow="-120" windowWidth="29040" windowHeight="15840" xr2:uid="{16F12C41-126B-4AEC-8904-231A16577A59}"/>
  </bookViews>
  <sheets>
    <sheet name="solar_cells" sheetId="1" r:id="rId1"/>
    <sheet name="solar_array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" l="1"/>
  <c r="H22" i="2"/>
  <c r="H20" i="2"/>
  <c r="H4" i="2"/>
</calcChain>
</file>

<file path=xl/sharedStrings.xml><?xml version="1.0" encoding="utf-8"?>
<sst xmlns="http://schemas.openxmlformats.org/spreadsheetml/2006/main" count="221" uniqueCount="101">
  <si>
    <t>Company</t>
  </si>
  <si>
    <t>Cell Name</t>
  </si>
  <si>
    <t>BOL Efficiency</t>
  </si>
  <si>
    <t>Voc (V)</t>
  </si>
  <si>
    <t>Vmp (V)</t>
  </si>
  <si>
    <t>Pmp (W/m2)</t>
  </si>
  <si>
    <t>string</t>
  </si>
  <si>
    <t>number</t>
  </si>
  <si>
    <t>Azure Space</t>
  </si>
  <si>
    <t>Silicon S 32</t>
  </si>
  <si>
    <t>3G30-Adv</t>
  </si>
  <si>
    <t>4G32-Adv</t>
  </si>
  <si>
    <t>TJ 3G28C</t>
  </si>
  <si>
    <t>Rocket Lab</t>
  </si>
  <si>
    <t>ZTJ</t>
  </si>
  <si>
    <t>ZTJ+</t>
  </si>
  <si>
    <t>ZTJ Omega</t>
  </si>
  <si>
    <t>Z4J</t>
  </si>
  <si>
    <t>IMMα</t>
  </si>
  <si>
    <t>ZTJM</t>
  </si>
  <si>
    <t>SpectroLab</t>
  </si>
  <si>
    <t>XTJ</t>
  </si>
  <si>
    <t>XTJ-Prime</t>
  </si>
  <si>
    <t>XTE-SF</t>
  </si>
  <si>
    <t>XTE-HF</t>
  </si>
  <si>
    <t>XTE-LILT</t>
  </si>
  <si>
    <t>UTJ</t>
  </si>
  <si>
    <t>TASC</t>
  </si>
  <si>
    <t>ITJ</t>
  </si>
  <si>
    <t>Emcore</t>
  </si>
  <si>
    <t>BTJ</t>
  </si>
  <si>
    <t>Product</t>
  </si>
  <si>
    <t>Panel Mount</t>
  </si>
  <si>
    <t>Panel Material</t>
  </si>
  <si>
    <t>Panel Deployment</t>
  </si>
  <si>
    <t>Panel Deployability</t>
  </si>
  <si>
    <t>Specific Power (W/kg)</t>
  </si>
  <si>
    <t>Peak BOL Solar Array Power (W)</t>
  </si>
  <si>
    <t>AAC Clyde Space</t>
  </si>
  <si>
    <t>Photon</t>
  </si>
  <si>
    <t>Body</t>
  </si>
  <si>
    <t>Rigid</t>
  </si>
  <si>
    <t>Blue Canyon Technologies</t>
  </si>
  <si>
    <t>BCT Solar Array</t>
  </si>
  <si>
    <t>DHV Technologies</t>
  </si>
  <si>
    <t>Solar Panels for CubeSats Set</t>
  </si>
  <si>
    <t>Polyimide</t>
  </si>
  <si>
    <t>Double</t>
  </si>
  <si>
    <t>Quadruple</t>
  </si>
  <si>
    <t>CFRP</t>
  </si>
  <si>
    <t>Body mounted solar array panel</t>
  </si>
  <si>
    <t>Sandwich CFRP</t>
  </si>
  <si>
    <t>Low thickness monolithic CFRP</t>
  </si>
  <si>
    <t>Multiple deployable solar array wing</t>
  </si>
  <si>
    <t>Exoterra</t>
  </si>
  <si>
    <t>Fold Out Solar Arrays (FOSA)</t>
  </si>
  <si>
    <t>Flexible</t>
  </si>
  <si>
    <t>MMA Design</t>
  </si>
  <si>
    <t>Hawk</t>
  </si>
  <si>
    <t>PCB</t>
  </si>
  <si>
    <t>zHawk</t>
  </si>
  <si>
    <t>Next-Gen HaWK</t>
  </si>
  <si>
    <t>Airbus Defense and Space Netherlands</t>
  </si>
  <si>
    <t>Sparkwing Solar Panel</t>
  </si>
  <si>
    <t>Agencia Espacial Civil Ecuatoriana</t>
  </si>
  <si>
    <t>DSA/1</t>
  </si>
  <si>
    <t>GomSpace</t>
  </si>
  <si>
    <t>Nanopower DSP (18 cell config)</t>
  </si>
  <si>
    <t>NanoPower P110</t>
  </si>
  <si>
    <t>Fixed</t>
  </si>
  <si>
    <t>NanoPower MSP (16 cell config)</t>
  </si>
  <si>
    <t>NanoPower TSP</t>
  </si>
  <si>
    <t>ISISPACE</t>
  </si>
  <si>
    <t>Smallsat Solar Panels</t>
  </si>
  <si>
    <t>Redwire Space</t>
  </si>
  <si>
    <t>ROSA</t>
  </si>
  <si>
    <t>Aladdin SmallSat Array</t>
  </si>
  <si>
    <t>Flex Rigid Hybrid</t>
  </si>
  <si>
    <t>EnduroSat</t>
  </si>
  <si>
    <t>1U Solar Panel</t>
  </si>
  <si>
    <t>1.5U Solar Panel</t>
  </si>
  <si>
    <t>3U Solar Panel/Array</t>
  </si>
  <si>
    <t>6U Solar Panel/Array</t>
  </si>
  <si>
    <t>8U Solar Panel/Array</t>
  </si>
  <si>
    <t>Nanoavionics</t>
  </si>
  <si>
    <t>CubeSat GaAs Solar Panel</t>
  </si>
  <si>
    <t>Lockheed Martin</t>
  </si>
  <si>
    <t>SmallSat Solar Array</t>
  </si>
  <si>
    <t>Additively Manufactured Substrate</t>
  </si>
  <si>
    <t>Space Dynamics Laboratory</t>
  </si>
  <si>
    <t>SDL Modular Solar Panels</t>
  </si>
  <si>
    <t>Carbon fiber/Aluminum honeycomb composite</t>
  </si>
  <si>
    <t>Spacemanic</t>
  </si>
  <si>
    <t>RA_Solar_Panels</t>
  </si>
  <si>
    <t>Triple Junction GaAs</t>
  </si>
  <si>
    <t>Pumpkin Space Systems</t>
  </si>
  <si>
    <t>Dual Articulated Deployable Solar Array</t>
  </si>
  <si>
    <t>Dual-Quad Articulated Deployable Solar Array</t>
  </si>
  <si>
    <t>Deployable Clamshell Solar Array (DCSA)</t>
  </si>
  <si>
    <t>Jsc (mA/cm2)</t>
  </si>
  <si>
    <t>Jmp (mA/cm2)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</si>
</sst>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Quattrocento Sans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3" fillId="0" borderId="1" xfId="0" applyFont="1" applyBorder="1"/>
    <xf numFmtId="8" fontId="0" fillId="0" borderId="0" xfId="0" applyNumberFormat="1"/>
    <xf numFmtId="0" fontId="4" fillId="0" borderId="1" xfId="0" applyFont="1" applyBorder="1" applyAlignment="1">
      <alignment wrapText="1" readingOrder="1"/>
    </xf>
    <xf numFmtId="0" fontId="5" fillId="0" borderId="1" xfId="0" applyFont="1" applyBorder="1" applyAlignment="1">
      <alignment wrapText="1" readingOrder="1"/>
    </xf>
    <xf numFmtId="0" fontId="6" fillId="0" borderId="1" xfId="0" applyFont="1" applyBorder="1" applyAlignment="1">
      <alignment wrapText="1" readingOrder="1"/>
    </xf>
    <xf numFmtId="0" fontId="7" fillId="0" borderId="1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6405-2AB1-49AF-B744-03CCB15E8552}">
  <dimension ref="A1:K22"/>
  <sheetViews>
    <sheetView tabSelected="1" workbookViewId="0">
      <selection activeCell="G1" sqref="G1"/>
    </sheetView>
  </sheetViews>
  <sheetFormatPr defaultColWidth="8.85546875" defaultRowHeight="15" x14ac:dyDescent="0.25"/>
  <cols>
    <col min="1" max="8" width="14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99</v>
      </c>
      <c r="G1" s="2" t="s">
        <v>100</v>
      </c>
      <c r="H1" s="2" t="s">
        <v>5</v>
      </c>
    </row>
    <row r="2" spans="1:11" x14ac:dyDescent="0.25">
      <c r="A2" s="3" t="s">
        <v>6</v>
      </c>
      <c r="B2" s="3" t="s">
        <v>6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  <c r="H2" s="3" t="s">
        <v>7</v>
      </c>
    </row>
    <row r="3" spans="1:11" x14ac:dyDescent="0.25">
      <c r="A3" s="3" t="s">
        <v>8</v>
      </c>
      <c r="B3" s="4" t="s">
        <v>9</v>
      </c>
      <c r="C3" s="4">
        <v>16.8</v>
      </c>
      <c r="D3" s="4">
        <v>0.628</v>
      </c>
      <c r="E3" s="4">
        <v>0.52800000000000002</v>
      </c>
      <c r="F3" s="4">
        <v>45.8</v>
      </c>
      <c r="G3" s="4">
        <v>43.4</v>
      </c>
      <c r="H3" s="4">
        <v>229.2</v>
      </c>
    </row>
    <row r="4" spans="1:11" x14ac:dyDescent="0.25">
      <c r="A4" s="3" t="s">
        <v>8</v>
      </c>
      <c r="B4" s="3" t="s">
        <v>10</v>
      </c>
      <c r="C4" s="3">
        <v>29.5</v>
      </c>
      <c r="D4" s="3">
        <v>2.7</v>
      </c>
      <c r="E4" s="3">
        <v>2.411</v>
      </c>
      <c r="F4" s="3">
        <v>17.2</v>
      </c>
      <c r="G4" s="3">
        <v>16.71</v>
      </c>
      <c r="H4" s="3">
        <v>403</v>
      </c>
    </row>
    <row r="5" spans="1:11" x14ac:dyDescent="0.25">
      <c r="A5" s="3" t="s">
        <v>8</v>
      </c>
      <c r="B5" s="3" t="s">
        <v>11</v>
      </c>
      <c r="C5" s="3">
        <v>31.5</v>
      </c>
      <c r="D5" s="3">
        <v>3.4260000000000002</v>
      </c>
      <c r="E5" s="3">
        <v>2.9990000000000001</v>
      </c>
      <c r="F5" s="3">
        <v>15.2</v>
      </c>
      <c r="G5" s="3">
        <v>14.37</v>
      </c>
      <c r="H5" s="3">
        <v>431</v>
      </c>
    </row>
    <row r="6" spans="1:11" x14ac:dyDescent="0.25">
      <c r="A6" s="3" t="s">
        <v>8</v>
      </c>
      <c r="B6" s="3" t="s">
        <v>12</v>
      </c>
      <c r="C6" s="3">
        <v>28</v>
      </c>
      <c r="D6" s="3">
        <v>2.6669999999999998</v>
      </c>
      <c r="E6" s="3">
        <v>2.37</v>
      </c>
      <c r="F6" s="3">
        <v>16.77</v>
      </c>
      <c r="G6" s="3">
        <v>16.14</v>
      </c>
      <c r="H6" s="3">
        <v>1367</v>
      </c>
      <c r="K6" s="5"/>
    </row>
    <row r="7" spans="1:11" x14ac:dyDescent="0.25">
      <c r="A7" s="3" t="s">
        <v>13</v>
      </c>
      <c r="B7" s="3" t="s">
        <v>14</v>
      </c>
      <c r="C7" s="3">
        <v>29.5</v>
      </c>
      <c r="D7" s="3">
        <v>2.726</v>
      </c>
      <c r="E7" s="3">
        <v>2.41</v>
      </c>
      <c r="F7" s="3">
        <v>17.399999999999999</v>
      </c>
      <c r="G7" s="3">
        <v>16.5</v>
      </c>
      <c r="H7" s="3">
        <v>397.7</v>
      </c>
    </row>
    <row r="8" spans="1:11" x14ac:dyDescent="0.25">
      <c r="A8" s="3" t="s">
        <v>13</v>
      </c>
      <c r="B8" s="3" t="s">
        <v>15</v>
      </c>
      <c r="C8" s="3">
        <v>29.4</v>
      </c>
      <c r="D8" s="3">
        <v>2.69</v>
      </c>
      <c r="E8" s="3">
        <v>2.39</v>
      </c>
      <c r="F8" s="3">
        <v>17.100000000000001</v>
      </c>
      <c r="G8" s="3">
        <v>16.649999999999999</v>
      </c>
      <c r="H8" s="3">
        <v>397.9</v>
      </c>
    </row>
    <row r="9" spans="1:11" x14ac:dyDescent="0.25">
      <c r="A9" s="3" t="s">
        <v>13</v>
      </c>
      <c r="B9" s="3" t="s">
        <v>16</v>
      </c>
      <c r="C9" s="3">
        <v>30.2</v>
      </c>
      <c r="D9" s="3">
        <v>2.73</v>
      </c>
      <c r="E9" s="3">
        <v>2.4300000000000002</v>
      </c>
      <c r="F9" s="3">
        <v>17.399999999999999</v>
      </c>
      <c r="G9" s="3">
        <v>16.8</v>
      </c>
      <c r="H9" s="3">
        <v>408.2</v>
      </c>
    </row>
    <row r="10" spans="1:11" x14ac:dyDescent="0.25">
      <c r="A10" s="3" t="s">
        <v>13</v>
      </c>
      <c r="B10" s="3" t="s">
        <v>17</v>
      </c>
      <c r="C10" s="3">
        <v>30</v>
      </c>
      <c r="D10" s="3">
        <v>3.95</v>
      </c>
      <c r="E10" s="3">
        <v>3.54</v>
      </c>
      <c r="F10" s="3">
        <v>12</v>
      </c>
      <c r="G10" s="3">
        <v>11.5</v>
      </c>
      <c r="H10" s="3">
        <v>407.1</v>
      </c>
    </row>
    <row r="11" spans="1:11" x14ac:dyDescent="0.25">
      <c r="A11" s="3" t="s">
        <v>13</v>
      </c>
      <c r="B11" s="3" t="s">
        <v>18</v>
      </c>
      <c r="C11" s="3">
        <v>32</v>
      </c>
      <c r="D11" s="3">
        <v>4.78</v>
      </c>
      <c r="E11" s="3">
        <v>4.28</v>
      </c>
      <c r="F11" s="3">
        <v>10.7</v>
      </c>
      <c r="G11" s="3">
        <v>10.119999999999999</v>
      </c>
      <c r="H11" s="3">
        <v>433.1</v>
      </c>
    </row>
    <row r="12" spans="1:11" x14ac:dyDescent="0.25">
      <c r="A12" s="3" t="s">
        <v>13</v>
      </c>
      <c r="B12" s="3" t="s">
        <v>19</v>
      </c>
      <c r="C12" s="3">
        <v>29.5</v>
      </c>
      <c r="D12" s="3">
        <v>2.72</v>
      </c>
      <c r="E12" s="3">
        <v>2.38</v>
      </c>
      <c r="F12" s="3">
        <v>17.100000000000001</v>
      </c>
      <c r="G12" s="3">
        <v>16.5</v>
      </c>
      <c r="H12" s="3">
        <v>392</v>
      </c>
    </row>
    <row r="13" spans="1:11" x14ac:dyDescent="0.25">
      <c r="A13" s="3" t="s">
        <v>20</v>
      </c>
      <c r="B13" s="3" t="s">
        <v>21</v>
      </c>
      <c r="C13" s="3">
        <v>29.5</v>
      </c>
      <c r="D13" s="3">
        <v>2.633</v>
      </c>
      <c r="E13" s="3">
        <v>2.3479999999999999</v>
      </c>
      <c r="F13" s="3">
        <v>17.760000000000002</v>
      </c>
      <c r="G13" s="3">
        <v>17.02</v>
      </c>
      <c r="H13" s="3">
        <v>399.6</v>
      </c>
    </row>
    <row r="14" spans="1:11" x14ac:dyDescent="0.25">
      <c r="A14" s="3" t="s">
        <v>20</v>
      </c>
      <c r="B14" s="3" t="s">
        <v>22</v>
      </c>
      <c r="C14" s="3">
        <v>30.7</v>
      </c>
      <c r="D14" s="3">
        <v>2.7149999999999999</v>
      </c>
      <c r="E14" s="3">
        <v>2.39</v>
      </c>
      <c r="F14" s="3">
        <v>18.100000000000001</v>
      </c>
      <c r="G14" s="3">
        <v>17.399999999999999</v>
      </c>
      <c r="H14" s="3">
        <v>415.9</v>
      </c>
    </row>
    <row r="15" spans="1:11" x14ac:dyDescent="0.25">
      <c r="A15" s="3" t="s">
        <v>20</v>
      </c>
      <c r="B15" s="3" t="s">
        <v>23</v>
      </c>
      <c r="C15" s="3">
        <v>32.200000000000003</v>
      </c>
      <c r="D15" s="3">
        <v>2.75</v>
      </c>
      <c r="E15" s="3">
        <v>2.4350000000000001</v>
      </c>
      <c r="F15" s="3">
        <v>18.600000000000001</v>
      </c>
      <c r="G15" s="3">
        <v>17.8</v>
      </c>
      <c r="H15" s="3">
        <v>433.4</v>
      </c>
    </row>
    <row r="16" spans="1:11" x14ac:dyDescent="0.25">
      <c r="A16" s="3" t="s">
        <v>20</v>
      </c>
      <c r="B16" s="3" t="s">
        <v>24</v>
      </c>
      <c r="C16" s="3">
        <v>32.1</v>
      </c>
      <c r="D16" s="3">
        <v>2.782</v>
      </c>
      <c r="E16" s="3">
        <v>2.4900000000000002</v>
      </c>
      <c r="F16" s="3">
        <v>18</v>
      </c>
      <c r="G16" s="3">
        <v>17.399999999999999</v>
      </c>
      <c r="H16" s="3">
        <v>427.9</v>
      </c>
    </row>
    <row r="17" spans="1:8" x14ac:dyDescent="0.25">
      <c r="A17" s="3" t="s">
        <v>20</v>
      </c>
      <c r="B17" s="3" t="s">
        <v>25</v>
      </c>
      <c r="C17" s="3">
        <v>31.6</v>
      </c>
      <c r="D17" s="3">
        <v>2.7549999999999999</v>
      </c>
      <c r="E17" s="3">
        <v>2.4590000000000001</v>
      </c>
      <c r="F17" s="3">
        <v>18.100000000000001</v>
      </c>
      <c r="G17" s="3">
        <v>17.399999999999999</v>
      </c>
      <c r="H17" s="3">
        <v>427.9</v>
      </c>
    </row>
    <row r="18" spans="1:8" x14ac:dyDescent="0.25">
      <c r="A18" s="3" t="s">
        <v>20</v>
      </c>
      <c r="B18" s="3" t="s">
        <v>26</v>
      </c>
      <c r="C18" s="3">
        <v>28.4</v>
      </c>
      <c r="D18" s="3">
        <v>2.66</v>
      </c>
      <c r="E18" s="3">
        <v>2.35</v>
      </c>
      <c r="F18" s="3">
        <v>17.14</v>
      </c>
      <c r="G18" s="3">
        <v>16.38</v>
      </c>
      <c r="H18" s="3">
        <v>384.93</v>
      </c>
    </row>
    <row r="19" spans="1:8" x14ac:dyDescent="0.25">
      <c r="A19" s="3" t="s">
        <v>20</v>
      </c>
      <c r="B19" s="3" t="s">
        <v>27</v>
      </c>
      <c r="C19" s="3">
        <v>27</v>
      </c>
      <c r="D19" s="3">
        <v>2.52</v>
      </c>
      <c r="E19" s="3">
        <v>2.19</v>
      </c>
      <c r="F19" s="3">
        <v>32</v>
      </c>
      <c r="G19" s="3">
        <v>28</v>
      </c>
      <c r="H19" s="3">
        <v>270</v>
      </c>
    </row>
    <row r="20" spans="1:8" x14ac:dyDescent="0.25">
      <c r="A20" s="3" t="s">
        <v>20</v>
      </c>
      <c r="B20" s="3" t="s">
        <v>28</v>
      </c>
      <c r="C20" s="3">
        <v>26.8</v>
      </c>
      <c r="D20" s="3">
        <v>2.5649999999999999</v>
      </c>
      <c r="E20" s="3">
        <v>2.27</v>
      </c>
      <c r="F20" s="3">
        <v>16.899999999999999</v>
      </c>
      <c r="G20" s="3">
        <v>16</v>
      </c>
      <c r="H20" s="3">
        <v>1353</v>
      </c>
    </row>
    <row r="21" spans="1:8" x14ac:dyDescent="0.25">
      <c r="A21" s="3" t="s">
        <v>29</v>
      </c>
      <c r="B21" s="3" t="s">
        <v>30</v>
      </c>
      <c r="C21" s="3">
        <v>28.5</v>
      </c>
      <c r="D21" s="3">
        <v>2.7</v>
      </c>
      <c r="E21" s="3">
        <v>2.37</v>
      </c>
      <c r="F21" s="3">
        <v>17.100000000000001</v>
      </c>
      <c r="G21" s="3">
        <v>16.3</v>
      </c>
      <c r="H21" s="3">
        <v>386</v>
      </c>
    </row>
    <row r="22" spans="1:8" x14ac:dyDescent="0.25">
      <c r="A22" s="3" t="s">
        <v>29</v>
      </c>
      <c r="B22" s="3" t="s">
        <v>14</v>
      </c>
      <c r="C22" s="3">
        <v>29.5</v>
      </c>
      <c r="D22" s="3">
        <v>2.726</v>
      </c>
      <c r="E22" s="3">
        <v>2.41</v>
      </c>
      <c r="F22" s="3">
        <v>17.399999999999999</v>
      </c>
      <c r="G22" s="3">
        <v>16.5</v>
      </c>
      <c r="H22" s="3">
        <v>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FD71-2D09-49E1-9EFD-D89A866E3B4D}">
  <dimension ref="A1:H44"/>
  <sheetViews>
    <sheetView zoomScaleNormal="100" workbookViewId="0">
      <selection activeCell="B45" sqref="B45"/>
    </sheetView>
  </sheetViews>
  <sheetFormatPr defaultColWidth="8.85546875" defaultRowHeight="15" x14ac:dyDescent="0.25"/>
  <cols>
    <col min="1" max="8" width="13.7109375" customWidth="1"/>
  </cols>
  <sheetData>
    <row r="1" spans="1:8" ht="39" x14ac:dyDescent="0.25">
      <c r="A1" s="6" t="s">
        <v>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</row>
    <row r="2" spans="1:8" x14ac:dyDescent="0.25">
      <c r="A2" s="6" t="s">
        <v>6</v>
      </c>
      <c r="B2" s="6" t="s">
        <v>6</v>
      </c>
      <c r="C2" s="6" t="s">
        <v>6</v>
      </c>
      <c r="D2" s="6" t="s">
        <v>6</v>
      </c>
      <c r="E2" s="6" t="s">
        <v>6</v>
      </c>
      <c r="F2" s="6" t="s">
        <v>6</v>
      </c>
      <c r="G2" s="6" t="s">
        <v>7</v>
      </c>
      <c r="H2" s="6" t="s">
        <v>7</v>
      </c>
    </row>
    <row r="3" spans="1:8" ht="26.25" x14ac:dyDescent="0.25">
      <c r="A3" s="7" t="s">
        <v>38</v>
      </c>
      <c r="B3" s="7" t="s">
        <v>39</v>
      </c>
      <c r="C3" s="7" t="s">
        <v>40</v>
      </c>
      <c r="D3" s="7"/>
      <c r="E3" s="7" t="s">
        <v>41</v>
      </c>
      <c r="F3" s="7"/>
      <c r="G3" s="7"/>
      <c r="H3" s="7">
        <v>9.25</v>
      </c>
    </row>
    <row r="4" spans="1:8" ht="26.25" x14ac:dyDescent="0.25">
      <c r="A4" s="7" t="s">
        <v>42</v>
      </c>
      <c r="B4" s="7" t="s">
        <v>43</v>
      </c>
      <c r="C4" s="7" t="s">
        <v>40</v>
      </c>
      <c r="D4" s="7"/>
      <c r="E4" s="7" t="s">
        <v>41</v>
      </c>
      <c r="F4" s="7"/>
      <c r="G4" s="7"/>
      <c r="H4" s="7">
        <f>AVERAGE(28,118)</f>
        <v>73</v>
      </c>
    </row>
    <row r="5" spans="1:8" ht="39" x14ac:dyDescent="0.25">
      <c r="A5" s="7" t="s">
        <v>44</v>
      </c>
      <c r="B5" s="7" t="s">
        <v>45</v>
      </c>
      <c r="C5" s="7" t="s">
        <v>40</v>
      </c>
      <c r="D5" s="7" t="s">
        <v>46</v>
      </c>
      <c r="E5" s="7"/>
      <c r="F5" s="7"/>
      <c r="G5" s="7">
        <v>50</v>
      </c>
      <c r="H5" s="7">
        <v>2</v>
      </c>
    </row>
    <row r="6" spans="1:8" ht="39" x14ac:dyDescent="0.25">
      <c r="A6" s="7" t="s">
        <v>44</v>
      </c>
      <c r="B6" s="7" t="s">
        <v>45</v>
      </c>
      <c r="C6" s="7" t="s">
        <v>40</v>
      </c>
      <c r="D6" s="7" t="s">
        <v>46</v>
      </c>
      <c r="E6" s="7"/>
      <c r="F6" s="7"/>
      <c r="G6" s="7">
        <v>49</v>
      </c>
      <c r="H6" s="7">
        <v>4</v>
      </c>
    </row>
    <row r="7" spans="1:8" ht="39" x14ac:dyDescent="0.25">
      <c r="A7" s="7" t="s">
        <v>44</v>
      </c>
      <c r="B7" s="7" t="s">
        <v>45</v>
      </c>
      <c r="C7" s="7" t="s">
        <v>40</v>
      </c>
      <c r="D7" s="7" t="s">
        <v>46</v>
      </c>
      <c r="E7" s="7"/>
      <c r="F7" s="7"/>
      <c r="G7" s="7">
        <v>75</v>
      </c>
      <c r="H7" s="7">
        <v>8</v>
      </c>
    </row>
    <row r="8" spans="1:8" ht="39" x14ac:dyDescent="0.25">
      <c r="A8" s="7" t="s">
        <v>44</v>
      </c>
      <c r="B8" s="7" t="s">
        <v>45</v>
      </c>
      <c r="C8" s="7" t="s">
        <v>40</v>
      </c>
      <c r="D8" s="7" t="s">
        <v>46</v>
      </c>
      <c r="E8" s="7"/>
      <c r="F8" s="7"/>
      <c r="G8" s="7">
        <v>68</v>
      </c>
      <c r="H8" s="7">
        <v>18</v>
      </c>
    </row>
    <row r="9" spans="1:8" ht="39" x14ac:dyDescent="0.25">
      <c r="A9" s="7" t="s">
        <v>44</v>
      </c>
      <c r="B9" s="7" t="s">
        <v>45</v>
      </c>
      <c r="C9" s="7" t="s">
        <v>40</v>
      </c>
      <c r="D9" s="7" t="s">
        <v>46</v>
      </c>
      <c r="E9" s="7" t="s">
        <v>41</v>
      </c>
      <c r="F9" s="7" t="s">
        <v>47</v>
      </c>
      <c r="G9" s="7">
        <v>42</v>
      </c>
      <c r="H9" s="7">
        <v>12</v>
      </c>
    </row>
    <row r="10" spans="1:8" ht="39" x14ac:dyDescent="0.25">
      <c r="A10" s="7" t="s">
        <v>44</v>
      </c>
      <c r="B10" s="7" t="s">
        <v>45</v>
      </c>
      <c r="C10" s="7" t="s">
        <v>40</v>
      </c>
      <c r="D10" s="7" t="s">
        <v>46</v>
      </c>
      <c r="E10" s="7" t="s">
        <v>41</v>
      </c>
      <c r="F10" s="7" t="s">
        <v>47</v>
      </c>
      <c r="G10" s="7">
        <v>69</v>
      </c>
      <c r="H10" s="7">
        <v>57</v>
      </c>
    </row>
    <row r="11" spans="1:8" ht="39" x14ac:dyDescent="0.25">
      <c r="A11" s="7" t="s">
        <v>44</v>
      </c>
      <c r="B11" s="7" t="s">
        <v>45</v>
      </c>
      <c r="C11" s="7"/>
      <c r="D11" s="7" t="s">
        <v>46</v>
      </c>
      <c r="E11" s="7" t="s">
        <v>41</v>
      </c>
      <c r="F11" s="7" t="s">
        <v>48</v>
      </c>
      <c r="G11" s="7">
        <v>108</v>
      </c>
      <c r="H11" s="7">
        <v>34</v>
      </c>
    </row>
    <row r="12" spans="1:8" ht="39" x14ac:dyDescent="0.25">
      <c r="A12" s="7" t="s">
        <v>44</v>
      </c>
      <c r="B12" s="7" t="s">
        <v>45</v>
      </c>
      <c r="C12" s="7"/>
      <c r="D12" s="7" t="s">
        <v>49</v>
      </c>
      <c r="E12" s="7" t="s">
        <v>41</v>
      </c>
      <c r="F12" s="7" t="s">
        <v>48</v>
      </c>
      <c r="G12" s="7">
        <v>69</v>
      </c>
      <c r="H12" s="7">
        <v>68</v>
      </c>
    </row>
    <row r="13" spans="1:8" ht="39" x14ac:dyDescent="0.25">
      <c r="A13" s="7" t="s">
        <v>44</v>
      </c>
      <c r="B13" s="7" t="s">
        <v>45</v>
      </c>
      <c r="C13" s="7" t="s">
        <v>40</v>
      </c>
      <c r="D13" s="7" t="s">
        <v>46</v>
      </c>
      <c r="E13" s="7"/>
      <c r="F13" s="7"/>
      <c r="G13" s="7">
        <v>50</v>
      </c>
      <c r="H13" s="7">
        <v>2</v>
      </c>
    </row>
    <row r="14" spans="1:8" ht="39" x14ac:dyDescent="0.25">
      <c r="A14" s="7" t="s">
        <v>44</v>
      </c>
      <c r="B14" s="7" t="s">
        <v>45</v>
      </c>
      <c r="C14" s="7" t="s">
        <v>40</v>
      </c>
      <c r="D14" s="7" t="s">
        <v>46</v>
      </c>
      <c r="E14" s="7"/>
      <c r="F14" s="7"/>
      <c r="G14" s="7">
        <v>49</v>
      </c>
      <c r="H14" s="7">
        <v>4</v>
      </c>
    </row>
    <row r="15" spans="1:8" ht="39" x14ac:dyDescent="0.25">
      <c r="A15" s="7" t="s">
        <v>44</v>
      </c>
      <c r="B15" s="7" t="s">
        <v>50</v>
      </c>
      <c r="C15" s="7"/>
      <c r="D15" s="7" t="s">
        <v>51</v>
      </c>
      <c r="E15" s="7"/>
      <c r="F15" s="7"/>
      <c r="G15" s="7">
        <v>84</v>
      </c>
      <c r="H15" s="7">
        <v>179</v>
      </c>
    </row>
    <row r="16" spans="1:8" ht="39" x14ac:dyDescent="0.25">
      <c r="A16" s="7" t="s">
        <v>44</v>
      </c>
      <c r="B16" s="7" t="s">
        <v>50</v>
      </c>
      <c r="D16" s="7" t="s">
        <v>51</v>
      </c>
      <c r="E16" s="7"/>
      <c r="F16" s="7"/>
      <c r="G16" s="7">
        <v>90</v>
      </c>
      <c r="H16" s="7">
        <v>171</v>
      </c>
    </row>
    <row r="17" spans="1:8" ht="39" x14ac:dyDescent="0.25">
      <c r="A17" s="7" t="s">
        <v>44</v>
      </c>
      <c r="B17" s="7" t="s">
        <v>50</v>
      </c>
      <c r="D17" s="7" t="s">
        <v>52</v>
      </c>
      <c r="E17" s="7"/>
      <c r="F17" s="7"/>
      <c r="G17" s="7">
        <v>140</v>
      </c>
      <c r="H17" s="7">
        <v>96</v>
      </c>
    </row>
    <row r="18" spans="1:8" ht="51.75" x14ac:dyDescent="0.25">
      <c r="A18" s="7" t="s">
        <v>44</v>
      </c>
      <c r="B18" s="7" t="s">
        <v>53</v>
      </c>
      <c r="D18" s="7" t="s">
        <v>51</v>
      </c>
      <c r="E18" s="7"/>
      <c r="F18" s="7"/>
      <c r="G18" s="7">
        <v>57</v>
      </c>
      <c r="H18" s="7">
        <v>697</v>
      </c>
    </row>
    <row r="19" spans="1:8" ht="26.25" x14ac:dyDescent="0.25">
      <c r="A19" s="7" t="s">
        <v>54</v>
      </c>
      <c r="B19" s="7" t="s">
        <v>55</v>
      </c>
      <c r="C19" s="7"/>
      <c r="D19" s="7"/>
      <c r="E19" s="7" t="s">
        <v>56</v>
      </c>
      <c r="F19" s="7"/>
      <c r="G19" s="7">
        <v>140</v>
      </c>
      <c r="H19" s="7">
        <v>150</v>
      </c>
    </row>
    <row r="20" spans="1:8" x14ac:dyDescent="0.25">
      <c r="A20" s="7" t="s">
        <v>57</v>
      </c>
      <c r="B20" s="7" t="s">
        <v>58</v>
      </c>
      <c r="C20" s="7"/>
      <c r="D20" s="7" t="s">
        <v>59</v>
      </c>
      <c r="E20" s="7" t="s">
        <v>41</v>
      </c>
      <c r="F20" s="7"/>
      <c r="G20" s="7">
        <v>121</v>
      </c>
      <c r="H20" s="7">
        <f>AVERAGE(36,112)</f>
        <v>74</v>
      </c>
    </row>
    <row r="21" spans="1:8" x14ac:dyDescent="0.25">
      <c r="A21" s="7" t="s">
        <v>57</v>
      </c>
      <c r="B21" s="7" t="s">
        <v>60</v>
      </c>
      <c r="C21" s="7"/>
      <c r="D21" s="7" t="s">
        <v>59</v>
      </c>
      <c r="E21" s="7" t="s">
        <v>41</v>
      </c>
      <c r="F21" s="7"/>
      <c r="G21" s="7">
        <v>95</v>
      </c>
      <c r="H21" s="7">
        <v>36</v>
      </c>
    </row>
    <row r="22" spans="1:8" ht="26.25" x14ac:dyDescent="0.25">
      <c r="A22" s="7" t="s">
        <v>57</v>
      </c>
      <c r="B22" s="7" t="s">
        <v>61</v>
      </c>
      <c r="C22" s="7"/>
      <c r="D22" s="7" t="s">
        <v>59</v>
      </c>
      <c r="E22" s="7" t="s">
        <v>41</v>
      </c>
      <c r="F22" s="7"/>
      <c r="G22" s="7">
        <v>100</v>
      </c>
      <c r="H22" s="7">
        <f>AVERAGE(45,310)</f>
        <v>177.5</v>
      </c>
    </row>
    <row r="23" spans="1:8" ht="39" x14ac:dyDescent="0.25">
      <c r="A23" s="7" t="s">
        <v>62</v>
      </c>
      <c r="B23" s="7" t="s">
        <v>63</v>
      </c>
      <c r="C23" s="7"/>
      <c r="D23" s="7"/>
      <c r="E23" s="7" t="s">
        <v>41</v>
      </c>
      <c r="F23" s="7"/>
      <c r="G23" s="7">
        <v>165</v>
      </c>
      <c r="H23" s="7">
        <v>66</v>
      </c>
    </row>
    <row r="24" spans="1:8" ht="39" x14ac:dyDescent="0.25">
      <c r="A24" s="7" t="s">
        <v>64</v>
      </c>
      <c r="B24" s="7" t="s">
        <v>65</v>
      </c>
      <c r="C24" s="7"/>
      <c r="D24" s="7"/>
      <c r="E24" s="7" t="s">
        <v>41</v>
      </c>
      <c r="F24" s="7"/>
      <c r="G24" s="7">
        <v>107</v>
      </c>
      <c r="H24" s="7">
        <v>7.2</v>
      </c>
    </row>
    <row r="25" spans="1:8" ht="39" x14ac:dyDescent="0.25">
      <c r="A25" s="7" t="s">
        <v>66</v>
      </c>
      <c r="B25" s="7" t="s">
        <v>67</v>
      </c>
      <c r="C25" s="7"/>
      <c r="D25" s="7"/>
      <c r="E25" s="7" t="s">
        <v>41</v>
      </c>
      <c r="F25" s="7"/>
      <c r="G25" s="7">
        <v>48</v>
      </c>
      <c r="H25" s="7">
        <f>1.2*18</f>
        <v>21.599999999999998</v>
      </c>
    </row>
    <row r="26" spans="1:8" ht="26.25" x14ac:dyDescent="0.25">
      <c r="A26" s="7" t="s">
        <v>66</v>
      </c>
      <c r="B26" s="8" t="s">
        <v>68</v>
      </c>
      <c r="C26" s="7"/>
      <c r="D26" s="7"/>
      <c r="E26" s="7" t="s">
        <v>69</v>
      </c>
      <c r="F26" s="7"/>
      <c r="G26" s="7">
        <v>64.5</v>
      </c>
      <c r="H26" s="7">
        <v>2.4</v>
      </c>
    </row>
    <row r="27" spans="1:8" ht="39" x14ac:dyDescent="0.25">
      <c r="A27" s="7" t="s">
        <v>66</v>
      </c>
      <c r="B27" s="8" t="s">
        <v>70</v>
      </c>
      <c r="C27" s="7"/>
      <c r="D27" s="7"/>
      <c r="E27" s="7" t="s">
        <v>69</v>
      </c>
      <c r="F27" s="7"/>
      <c r="G27" s="7">
        <v>42</v>
      </c>
      <c r="H27" s="7">
        <v>19.2</v>
      </c>
    </row>
    <row r="28" spans="1:8" ht="26.25" x14ac:dyDescent="0.25">
      <c r="A28" s="7" t="s">
        <v>66</v>
      </c>
      <c r="B28" s="8" t="s">
        <v>71</v>
      </c>
      <c r="C28" s="7"/>
      <c r="D28" s="7"/>
      <c r="E28" s="7" t="s">
        <v>41</v>
      </c>
      <c r="F28" s="7"/>
      <c r="G28" s="7">
        <v>60</v>
      </c>
      <c r="H28" s="7">
        <v>45</v>
      </c>
    </row>
    <row r="29" spans="1:8" ht="26.25" x14ac:dyDescent="0.25">
      <c r="A29" s="7" t="s">
        <v>72</v>
      </c>
      <c r="B29" s="7" t="s">
        <v>73</v>
      </c>
      <c r="C29" s="7" t="s">
        <v>40</v>
      </c>
      <c r="D29" s="7"/>
      <c r="E29" s="7" t="s">
        <v>41</v>
      </c>
      <c r="F29" s="7"/>
      <c r="G29" s="7">
        <v>46</v>
      </c>
      <c r="H29" s="7">
        <v>2.2999999999999998</v>
      </c>
    </row>
    <row r="30" spans="1:8" x14ac:dyDescent="0.25">
      <c r="A30" s="7" t="s">
        <v>74</v>
      </c>
      <c r="B30" s="7" t="s">
        <v>75</v>
      </c>
      <c r="C30" s="7"/>
      <c r="D30" s="7"/>
      <c r="E30" s="7" t="s">
        <v>56</v>
      </c>
      <c r="F30" s="7"/>
      <c r="G30" s="7">
        <v>100</v>
      </c>
      <c r="H30" s="7">
        <v>1000</v>
      </c>
    </row>
    <row r="31" spans="1:8" ht="26.25" x14ac:dyDescent="0.25">
      <c r="A31" s="7" t="s">
        <v>74</v>
      </c>
      <c r="B31" s="7" t="s">
        <v>76</v>
      </c>
      <c r="C31" s="7"/>
      <c r="D31" s="7"/>
      <c r="E31" s="7" t="s">
        <v>77</v>
      </c>
      <c r="F31" s="7"/>
      <c r="G31" s="7">
        <v>80</v>
      </c>
      <c r="H31" s="7">
        <v>300</v>
      </c>
    </row>
    <row r="32" spans="1:8" x14ac:dyDescent="0.25">
      <c r="A32" s="7" t="s">
        <v>78</v>
      </c>
      <c r="B32" s="7" t="s">
        <v>79</v>
      </c>
      <c r="C32" s="7"/>
      <c r="D32" s="7"/>
      <c r="E32" s="7" t="s">
        <v>41</v>
      </c>
      <c r="F32" s="7"/>
      <c r="G32" s="7">
        <v>50</v>
      </c>
      <c r="H32" s="7">
        <v>2.4</v>
      </c>
    </row>
    <row r="33" spans="1:8" ht="26.25" x14ac:dyDescent="0.25">
      <c r="A33" s="7" t="s">
        <v>78</v>
      </c>
      <c r="B33" s="7" t="s">
        <v>80</v>
      </c>
      <c r="C33" s="7"/>
      <c r="D33" s="7"/>
      <c r="E33" s="7" t="s">
        <v>41</v>
      </c>
      <c r="F33" s="7"/>
      <c r="G33" s="7">
        <v>55</v>
      </c>
      <c r="H33" s="7">
        <v>2.4</v>
      </c>
    </row>
    <row r="34" spans="1:8" ht="26.25" x14ac:dyDescent="0.25">
      <c r="A34" s="7" t="s">
        <v>78</v>
      </c>
      <c r="B34" s="7" t="s">
        <v>81</v>
      </c>
      <c r="C34" s="7"/>
      <c r="D34" s="7"/>
      <c r="E34" s="7" t="s">
        <v>41</v>
      </c>
      <c r="F34" s="7"/>
      <c r="G34" s="7">
        <v>66</v>
      </c>
      <c r="H34" s="7">
        <v>8.4</v>
      </c>
    </row>
    <row r="35" spans="1:8" ht="26.25" x14ac:dyDescent="0.25">
      <c r="A35" s="7" t="s">
        <v>78</v>
      </c>
      <c r="B35" s="7" t="s">
        <v>82</v>
      </c>
      <c r="C35" s="7"/>
      <c r="D35" s="7"/>
      <c r="E35" s="7" t="s">
        <v>41</v>
      </c>
      <c r="F35" s="7"/>
      <c r="G35" s="7">
        <v>64</v>
      </c>
      <c r="H35" s="7">
        <v>19.2</v>
      </c>
    </row>
    <row r="36" spans="1:8" ht="26.25" x14ac:dyDescent="0.25">
      <c r="A36" s="7" t="s">
        <v>78</v>
      </c>
      <c r="B36" s="7" t="s">
        <v>83</v>
      </c>
      <c r="C36" s="7"/>
      <c r="D36" s="7"/>
      <c r="E36" s="7" t="s">
        <v>41</v>
      </c>
      <c r="F36" s="7"/>
      <c r="G36" s="7">
        <v>65</v>
      </c>
      <c r="H36" s="7">
        <v>24</v>
      </c>
    </row>
    <row r="37" spans="1:8" ht="26.25" x14ac:dyDescent="0.25">
      <c r="A37" s="7" t="s">
        <v>84</v>
      </c>
      <c r="B37" s="7" t="s">
        <v>85</v>
      </c>
      <c r="C37" s="7"/>
      <c r="D37" s="7"/>
      <c r="E37" s="7" t="s">
        <v>41</v>
      </c>
      <c r="F37" s="7"/>
      <c r="G37" s="7"/>
      <c r="H37" s="7"/>
    </row>
    <row r="38" spans="1:8" ht="39" x14ac:dyDescent="0.25">
      <c r="A38" s="7" t="s">
        <v>86</v>
      </c>
      <c r="B38" s="7" t="s">
        <v>87</v>
      </c>
      <c r="C38" s="7"/>
      <c r="D38" s="7" t="s">
        <v>88</v>
      </c>
      <c r="E38" s="7" t="s">
        <v>41</v>
      </c>
      <c r="F38" s="7"/>
      <c r="G38" s="7">
        <v>53.6</v>
      </c>
      <c r="H38" s="7">
        <v>170</v>
      </c>
    </row>
    <row r="39" spans="1:8" ht="51.75" x14ac:dyDescent="0.25">
      <c r="A39" s="7" t="s">
        <v>89</v>
      </c>
      <c r="B39" s="7" t="s">
        <v>90</v>
      </c>
      <c r="D39" s="7" t="s">
        <v>91</v>
      </c>
      <c r="E39" s="7"/>
      <c r="F39" s="7"/>
      <c r="G39" s="7">
        <v>84.5</v>
      </c>
      <c r="H39" s="7">
        <v>190</v>
      </c>
    </row>
    <row r="40" spans="1:8" ht="26.25" x14ac:dyDescent="0.25">
      <c r="A40" s="7" t="s">
        <v>92</v>
      </c>
      <c r="B40" s="7" t="s">
        <v>93</v>
      </c>
      <c r="C40" s="7"/>
      <c r="D40" s="7" t="s">
        <v>94</v>
      </c>
      <c r="E40" s="7"/>
      <c r="F40" s="7"/>
      <c r="G40" s="7">
        <v>46</v>
      </c>
      <c r="H40" s="7">
        <v>2.4</v>
      </c>
    </row>
    <row r="41" spans="1:8" ht="51.75" x14ac:dyDescent="0.25">
      <c r="A41" s="7" t="s">
        <v>95</v>
      </c>
      <c r="B41" s="7" t="s">
        <v>96</v>
      </c>
      <c r="C41" s="7"/>
      <c r="D41" s="7"/>
      <c r="E41" s="7" t="s">
        <v>41</v>
      </c>
      <c r="F41" s="7"/>
      <c r="G41" s="7">
        <v>31</v>
      </c>
      <c r="H41" s="7">
        <v>135</v>
      </c>
    </row>
    <row r="42" spans="1:8" ht="60" x14ac:dyDescent="0.25">
      <c r="A42" s="7" t="s">
        <v>95</v>
      </c>
      <c r="B42" s="9" t="s">
        <v>97</v>
      </c>
      <c r="C42" s="9"/>
      <c r="D42" s="9"/>
      <c r="E42" s="9" t="s">
        <v>41</v>
      </c>
      <c r="F42" s="9"/>
      <c r="G42" s="9">
        <v>30</v>
      </c>
      <c r="H42" s="9">
        <v>240</v>
      </c>
    </row>
    <row r="43" spans="1:8" ht="60" x14ac:dyDescent="0.25">
      <c r="A43" s="7" t="s">
        <v>95</v>
      </c>
      <c r="B43" s="9" t="s">
        <v>98</v>
      </c>
      <c r="C43" s="9"/>
      <c r="D43" s="9"/>
      <c r="E43" s="9" t="s">
        <v>41</v>
      </c>
      <c r="F43" s="9"/>
      <c r="G43" s="9">
        <v>44</v>
      </c>
      <c r="H43" s="9">
        <v>220</v>
      </c>
    </row>
    <row r="44" spans="1:8" ht="60" x14ac:dyDescent="0.25">
      <c r="A44" s="7" t="s">
        <v>95</v>
      </c>
      <c r="B44" s="9" t="s">
        <v>98</v>
      </c>
      <c r="C44" s="9"/>
      <c r="D44" s="9"/>
      <c r="E44" s="9" t="s">
        <v>41</v>
      </c>
      <c r="F44" s="9"/>
      <c r="G44" s="9">
        <v>38</v>
      </c>
      <c r="H44" s="9">
        <v>350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BE472F05C9334D936D50B001D5648C" ma:contentTypeVersion="10" ma:contentTypeDescription="Create a new document." ma:contentTypeScope="" ma:versionID="d7ee47202ba58419291b6de38efd9568">
  <xsd:schema xmlns:xsd="http://www.w3.org/2001/XMLSchema" xmlns:xs="http://www.w3.org/2001/XMLSchema" xmlns:p="http://schemas.microsoft.com/office/2006/metadata/properties" xmlns:ns3="b399cb96-8119-47a8-8a35-3ea8d2a018f8" targetNamespace="http://schemas.microsoft.com/office/2006/metadata/properties" ma:root="true" ma:fieldsID="e1c37c50716471850627886aee8d680c" ns3:_="">
    <xsd:import namespace="b399cb96-8119-47a8-8a35-3ea8d2a018f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9cb96-8119-47a8-8a35-3ea8d2a018f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99cb96-8119-47a8-8a35-3ea8d2a018f8" xsi:nil="true"/>
  </documentManagement>
</p:properties>
</file>

<file path=customXml/itemProps1.xml><?xml version="1.0" encoding="utf-8"?>
<ds:datastoreItem xmlns:ds="http://schemas.openxmlformats.org/officeDocument/2006/customXml" ds:itemID="{FF100869-8F78-4329-BFD4-1FEC038285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99cb96-8119-47a8-8a35-3ea8d2a018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3A4D27-B32D-4201-BE80-5D62D41D52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92FF4F-22FF-4FED-B27E-4715F833C62E}">
  <ds:schemaRefs>
    <ds:schemaRef ds:uri="http://purl.org/dc/elements/1.1/"/>
    <ds:schemaRef ds:uri="http://purl.org/dc/dcmitype/"/>
    <ds:schemaRef ds:uri="http://schemas.microsoft.com/office/2006/metadata/properties"/>
    <ds:schemaRef ds:uri="b399cb96-8119-47a8-8a35-3ea8d2a018f8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solar_cells</vt:lpstr>
      <vt:lpstr>solar_arrays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 Powell</dc:creator>
  <cp:lastModifiedBy>Aiden Powell</cp:lastModifiedBy>
  <dcterms:created xsi:type="dcterms:W3CDTF">2025-07-17T20:54:36Z</dcterms:created>
  <dcterms:modified xsi:type="dcterms:W3CDTF">2025-07-17T21:02:58Z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0x01010072BE472F05C9334D936D50B001D5648C</vt:lpwstr>
  </property>
</Properties>
</file>