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wel\PycharmProjects\cubesat_component_matcher\complete_backend_solution\tests\component_data_TEST\power\"/>
    </mc:Choice>
  </mc:AlternateContent>
  <xr:revisionPtr revIDLastSave="0" documentId="13_ncr:1_{FD712DA1-5C8C-430D-AF9D-D0BBC2A8F37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olar_cells" sheetId="5" r:id="rId1"/>
    <sheet name="solar_arrays" sheetId="6" r:id="rId2"/>
    <sheet name="battery_packs" sheetId="7" r:id="rId3"/>
    <sheet name="solid_state_batteries" sheetId="2" r:id="rId4"/>
    <sheet name="low_temperature_batteries" sheetId="3" r:id="rId5"/>
    <sheet name="management_and_distribution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15" i="4"/>
  <c r="C18" i="4"/>
  <c r="C17" i="4"/>
  <c r="C14" i="4"/>
  <c r="C13" i="4"/>
  <c r="C11" i="4"/>
  <c r="F13" i="7"/>
  <c r="F10" i="7"/>
  <c r="F9" i="7"/>
  <c r="H25" i="6"/>
  <c r="H22" i="6"/>
  <c r="H20" i="6"/>
  <c r="H4" i="6"/>
</calcChain>
</file>

<file path=xl/sharedStrings.xml><?xml version="1.0" encoding="utf-8"?>
<sst xmlns="http://schemas.openxmlformats.org/spreadsheetml/2006/main" count="448" uniqueCount="223">
  <si>
    <t>Company</t>
  </si>
  <si>
    <t>Cell Name</t>
  </si>
  <si>
    <t>BOL Efficiency</t>
  </si>
  <si>
    <t>Voc (V)</t>
  </si>
  <si>
    <t>Vmp (V)</t>
  </si>
  <si>
    <t>Jsc (mA/ cm2)</t>
  </si>
  <si>
    <t>Jmp (mA/ cm2)</t>
  </si>
  <si>
    <t>Pmp (W/m2)</t>
  </si>
  <si>
    <t>Product</t>
  </si>
  <si>
    <t>Specific Power (W/kg)</t>
  </si>
  <si>
    <t>Peak BOL Solar Array Power (W)</t>
  </si>
  <si>
    <t>Cells Used</t>
  </si>
  <si>
    <t>TRL</t>
  </si>
  <si>
    <t>Silicon S 32</t>
  </si>
  <si>
    <t>AAC Clyde Space</t>
  </si>
  <si>
    <t>Photon</t>
  </si>
  <si>
    <t>EaglePicher Technologies</t>
  </si>
  <si>
    <t>NPD-002271</t>
  </si>
  <si>
    <t>EaglePicher Li-ion</t>
  </si>
  <si>
    <t>3G30-Adv</t>
  </si>
  <si>
    <t>Blue Canyon Technologies</t>
  </si>
  <si>
    <t>BCT Solar Array</t>
  </si>
  <si>
    <t>GomSpace</t>
  </si>
  <si>
    <t>Nanopower BPX 3000mAh</t>
  </si>
  <si>
    <t>GomSpace NanoPower Li-ion</t>
  </si>
  <si>
    <t>4G32-Adv</t>
  </si>
  <si>
    <t>DHV Technologies</t>
  </si>
  <si>
    <t>Solar Panels for CubeSats Set</t>
  </si>
  <si>
    <t>TJ 3G28C</t>
  </si>
  <si>
    <r>
      <t xml:space="preserve">Nanopower BP4 </t>
    </r>
    <r>
      <rPr>
        <sz val="11"/>
        <color rgb="FF000000"/>
        <rFont val="Arial"/>
        <family val="2"/>
      </rPr>
      <t>3000mAh</t>
    </r>
  </si>
  <si>
    <t>Rocket Lab</t>
  </si>
  <si>
    <t>ZTJ</t>
  </si>
  <si>
    <t>ZTJ+</t>
  </si>
  <si>
    <t>Nanopower BP8</t>
  </si>
  <si>
    <t>ZTJ Omega</t>
  </si>
  <si>
    <t>Z4J</t>
  </si>
  <si>
    <t>Optimus</t>
  </si>
  <si>
    <t>Clyde Space Li-Polymer</t>
  </si>
  <si>
    <t>IMMα</t>
  </si>
  <si>
    <t>Ibeos</t>
  </si>
  <si>
    <t>28V Modular Battery</t>
  </si>
  <si>
    <t>ZTJM</t>
  </si>
  <si>
    <t>Saft</t>
  </si>
  <si>
    <t>VES16 4S1P</t>
  </si>
  <si>
    <t>SAFT Li-ion</t>
  </si>
  <si>
    <t>SpectroLab</t>
  </si>
  <si>
    <t>XTJ</t>
  </si>
  <si>
    <t>XTJ-Prime</t>
  </si>
  <si>
    <t>Vectronic Aerospace GmbH</t>
  </si>
  <si>
    <t>VLB-X</t>
  </si>
  <si>
    <t>SAFT Li-Ion</t>
  </si>
  <si>
    <t>XTE-SF</t>
  </si>
  <si>
    <t>XTE-HF</t>
  </si>
  <si>
    <t>Berlin Space Technologies</t>
  </si>
  <si>
    <t>BAT-110 Modular Battery (Nominal 3 strings)</t>
  </si>
  <si>
    <t>Li-Fe</t>
  </si>
  <si>
    <t>XTE-LILT</t>
  </si>
  <si>
    <t>GUMUSH AeroSpace</t>
  </si>
  <si>
    <t>n-ART BAT</t>
  </si>
  <si>
    <t>Li-Ion</t>
  </si>
  <si>
    <t>UTJ</t>
  </si>
  <si>
    <t>Argotech</t>
  </si>
  <si>
    <t>ELEKTRA</t>
  </si>
  <si>
    <t>TASC</t>
  </si>
  <si>
    <t>ITJ</t>
  </si>
  <si>
    <t>SkyLabs</t>
  </si>
  <si>
    <t>SKY-NANOeps-BMM</t>
  </si>
  <si>
    <t>LiFePO4</t>
  </si>
  <si>
    <t>Emcore</t>
  </si>
  <si>
    <t>BTJ</t>
  </si>
  <si>
    <t>Space Dynamics Laboratory</t>
  </si>
  <si>
    <t>SDL 12V Battery Pack</t>
  </si>
  <si>
    <t>EaglePicher LP32975</t>
  </si>
  <si>
    <t>Body mounted solar array panel</t>
  </si>
  <si>
    <t>Manufacturer</t>
  </si>
  <si>
    <t>Multiple deployable solar array wing</t>
  </si>
  <si>
    <t>Solid Power</t>
  </si>
  <si>
    <t>Silicon EV Cell</t>
  </si>
  <si>
    <t>Exoterra</t>
  </si>
  <si>
    <t>Fold Out Solar Arrays (FOSA)</t>
  </si>
  <si>
    <t>Lithium Metal</t>
  </si>
  <si>
    <t>MMA Design</t>
  </si>
  <si>
    <t>Hawk</t>
  </si>
  <si>
    <t>Conversion Reaction Cell</t>
  </si>
  <si>
    <t>zHawk</t>
  </si>
  <si>
    <t>QuantumScape</t>
  </si>
  <si>
    <t>Next-Gen HaWK</t>
  </si>
  <si>
    <t>Airbus Defense and Space Netherlands</t>
  </si>
  <si>
    <t>Sparkwing Solar Panel</t>
  </si>
  <si>
    <t>Agencia Espacial Civil Ecuatoriana</t>
  </si>
  <si>
    <t>DSA/1</t>
  </si>
  <si>
    <t>Package</t>
  </si>
  <si>
    <t>NanoPower P110</t>
  </si>
  <si>
    <t>Fixed</t>
  </si>
  <si>
    <t>Custom</t>
  </si>
  <si>
    <t>NanoPower TSP</t>
  </si>
  <si>
    <t>ISISPACE</t>
  </si>
  <si>
    <t>Smallsat Solar Panels</t>
  </si>
  <si>
    <t>Redwire Space</t>
  </si>
  <si>
    <t>ROSA</t>
  </si>
  <si>
    <t>Aladdin SmallSat Array</t>
  </si>
  <si>
    <t>EnduroSat</t>
  </si>
  <si>
    <t>1U Solar Panel</t>
  </si>
  <si>
    <t>1.5U Solar Panel</t>
  </si>
  <si>
    <t>Mass (kg)</t>
  </si>
  <si>
    <t>Volume (cm3)</t>
  </si>
  <si>
    <t>Peak Power Output (W)</t>
  </si>
  <si>
    <t>Input Voltages (VDC)</t>
  </si>
  <si>
    <t>Output Voltages (VDC)</t>
  </si>
  <si>
    <t>Max Efficiency (%)</t>
  </si>
  <si>
    <t>3U Solar Panel/Array</t>
  </si>
  <si>
    <t>Pumpkin Space Systems</t>
  </si>
  <si>
    <t>EPSM 1</t>
  </si>
  <si>
    <t>6U Solar Panel/Array</t>
  </si>
  <si>
    <t>AMPS</t>
  </si>
  <si>
    <t>8U Solar Panel/Array</t>
  </si>
  <si>
    <t>Starbuck Micro</t>
  </si>
  <si>
    <t>Nanoavionics</t>
  </si>
  <si>
    <t>CubeSat GaAs Solar Panel</t>
  </si>
  <si>
    <t>Starbuck Mini</t>
  </si>
  <si>
    <t>Lockheed Martin</t>
  </si>
  <si>
    <t>SmallSat Solar Array</t>
  </si>
  <si>
    <t>Starbuck Nano</t>
  </si>
  <si>
    <t>SDL Modular Solar Panels</t>
  </si>
  <si>
    <t>P31U</t>
  </si>
  <si>
    <t>Spacemanic</t>
  </si>
  <si>
    <t>RA_Solar_Panels</t>
  </si>
  <si>
    <t>Triple Junction GaAs</t>
  </si>
  <si>
    <t>P60</t>
  </si>
  <si>
    <t>Dual Articulated Deployable Solar Array</t>
  </si>
  <si>
    <t>P80</t>
  </si>
  <si>
    <t>Dual-Quad Articulated Deployable Solar Array</t>
  </si>
  <si>
    <t>iEPS Type C</t>
  </si>
  <si>
    <t>Deployable Clamshell Solar Array (DCSA)</t>
  </si>
  <si>
    <t>DHV</t>
  </si>
  <si>
    <t>MicroEPS</t>
  </si>
  <si>
    <t>NanoEPS</t>
  </si>
  <si>
    <t>PicoEPS</t>
  </si>
  <si>
    <t>EPS I</t>
  </si>
  <si>
    <t>EPS I Plus</t>
  </si>
  <si>
    <t>EPS II</t>
  </si>
  <si>
    <t>EPS III</t>
  </si>
  <si>
    <t>Ecarver GmBH</t>
  </si>
  <si>
    <t>PCU-SB7</t>
  </si>
  <si>
    <t>PCU-110</t>
  </si>
  <si>
    <t>150W CubeSat EPS</t>
  </si>
  <si>
    <t>200W, 28V CubeSat EPS</t>
  </si>
  <si>
    <t>Modular EPS (500W – 2,000W)</t>
  </si>
  <si>
    <t>CubeSat EPS</t>
  </si>
  <si>
    <t>n-ART EPS</t>
  </si>
  <si>
    <t>AMUN_PSU</t>
  </si>
  <si>
    <r>
      <t>9</t>
    </r>
    <r>
      <rPr>
        <sz val="8"/>
        <color rgb="FF000000"/>
        <rFont val="Arial"/>
        <family val="2"/>
      </rPr>
      <t> </t>
    </r>
  </si>
  <si>
    <t>Argotec</t>
  </si>
  <si>
    <t>PCDU VOLTA</t>
  </si>
  <si>
    <t>PCDU ZEUS</t>
  </si>
  <si>
    <t>C3S Electronics Development LLC</t>
  </si>
  <si>
    <t>EPS</t>
  </si>
  <si>
    <t>Bradford Space</t>
  </si>
  <si>
    <t>SKY-NANOeps-PCDU-23c-5d</t>
  </si>
  <si>
    <t>PMU</t>
  </si>
  <si>
    <t>3.3, 5, 12, 28</t>
  </si>
  <si>
    <t>string</t>
  </si>
  <si>
    <t>number</t>
  </si>
  <si>
    <t>Azure Space</t>
  </si>
  <si>
    <t>Panel Mount</t>
  </si>
  <si>
    <t>Panel Material</t>
  </si>
  <si>
    <t>Panel Deployment</t>
  </si>
  <si>
    <t>Panel Deployability</t>
  </si>
  <si>
    <t>Body</t>
  </si>
  <si>
    <t>Rigid</t>
  </si>
  <si>
    <t>Polyimide</t>
  </si>
  <si>
    <t>Double</t>
  </si>
  <si>
    <t>Quadruple</t>
  </si>
  <si>
    <t>CFRP</t>
  </si>
  <si>
    <t>Sandwich CFRP</t>
  </si>
  <si>
    <t>Low thickness monolithic CFRP</t>
  </si>
  <si>
    <t>Flexible</t>
  </si>
  <si>
    <t>PCB</t>
  </si>
  <si>
    <t>Nanopower DSP (18 cell config)</t>
  </si>
  <si>
    <t>NanoPower MSP (16 cell config)</t>
  </si>
  <si>
    <t>Flex Rigid Hybrid</t>
  </si>
  <si>
    <t>Additively Manufactured Substrate</t>
  </si>
  <si>
    <t>Carbon fiber/Aluminum honeycomb composite</t>
  </si>
  <si>
    <t>Specific Energy (Wh/kg)</t>
  </si>
  <si>
    <t>Typical Capacity (Ah)</t>
  </si>
  <si>
    <t>Max Discharge Rate (A)</t>
  </si>
  <si>
    <t>Volumetric Energy Density (Wh/L)</t>
  </si>
  <si>
    <t>LFP</t>
  </si>
  <si>
    <t>NMC</t>
  </si>
  <si>
    <t>Chemistry</t>
  </si>
  <si>
    <t>Temperature Minimum (deg C)</t>
  </si>
  <si>
    <t>Temperature Maximum (deg C)</t>
  </si>
  <si>
    <t>list</t>
  </si>
  <si>
    <t>EEMB</t>
  </si>
  <si>
    <t>Tadiran</t>
  </si>
  <si>
    <t>LiSOCl2</t>
  </si>
  <si>
    <t>GREPOW</t>
  </si>
  <si>
    <t>LiPo</t>
  </si>
  <si>
    <t>Custom, Pouch</t>
  </si>
  <si>
    <t>28, 5</t>
  </si>
  <si>
    <t>3.3, 5, 12</t>
  </si>
  <si>
    <t>3.3, 5</t>
  </si>
  <si>
    <t/>
  </si>
  <si>
    <t>3.3, 5, 8, 12, 18, 24</t>
  </si>
  <si>
    <t>72</t>
  </si>
  <si>
    <t>Volumetric Energy Density  (Wh/L)</t>
  </si>
  <si>
    <t>3.3, 5, 12, 12</t>
  </si>
  <si>
    <t>12, 12, 12,12, 5, 5, 5, 5, 28, 28, 28, 28, 28, 28, 28, 28</t>
  </si>
  <si>
    <t>SuperNova modular PCDU (1500W config)</t>
  </si>
  <si>
    <t>35, 5, 8, 12, 15</t>
  </si>
  <si>
    <t>3.3, 5, 12, 18, batt</t>
  </si>
  <si>
    <t>3.3, 5, 12, batt</t>
  </si>
  <si>
    <t>3.3, 5, batt</t>
  </si>
  <si>
    <t>3.3, 5, 12, 28, batt</t>
  </si>
  <si>
    <t>3.3, 5, 12, 24, 28</t>
  </si>
  <si>
    <t>5, 12, batt</t>
  </si>
  <si>
    <t>3.3, 5, 18</t>
  </si>
  <si>
    <t>3.3, 5, 36, batt</t>
  </si>
  <si>
    <t>3.3, 5, 9.9, 12, 3</t>
  </si>
  <si>
    <t>3.3, 5, 12, 10, batt</t>
  </si>
  <si>
    <t>MicroEPS (radiation shielded)</t>
  </si>
  <si>
    <t>PicoEPS (radiation shielded)</t>
  </si>
  <si>
    <t>NanoEPS (radiation shielded)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</si>
</sst>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Quattrocento Sans"/>
      <charset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</font>
    <font>
      <sz val="11"/>
      <color rgb="FF242424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8" fontId="0" fillId="0" borderId="0" xfId="0" applyNumberFormat="1"/>
    <xf numFmtId="0" fontId="1" fillId="0" borderId="3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4" fillId="0" borderId="3" xfId="0" applyFont="1" applyBorder="1"/>
    <xf numFmtId="0" fontId="5" fillId="0" borderId="3" xfId="0" applyFont="1" applyBorder="1" applyAlignment="1">
      <alignment wrapText="1" readingOrder="1"/>
    </xf>
    <xf numFmtId="0" fontId="6" fillId="0" borderId="3" xfId="0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  <xf numFmtId="0" fontId="9" fillId="0" borderId="3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10" fillId="0" borderId="3" xfId="0" applyFont="1" applyBorder="1" applyAlignment="1">
      <alignment wrapText="1" readingOrder="1"/>
    </xf>
    <xf numFmtId="0" fontId="12" fillId="0" borderId="3" xfId="0" applyFont="1" applyBorder="1" applyAlignment="1">
      <alignment wrapText="1" readingOrder="1"/>
    </xf>
    <xf numFmtId="0" fontId="13" fillId="0" borderId="3" xfId="0" applyFont="1" applyBorder="1" applyAlignment="1">
      <alignment wrapText="1" readingOrder="1"/>
    </xf>
    <xf numFmtId="1" fontId="6" fillId="0" borderId="3" xfId="0" applyNumberFormat="1" applyFont="1" applyBorder="1" applyAlignment="1">
      <alignment wrapText="1" readingOrder="1"/>
    </xf>
    <xf numFmtId="49" fontId="6" fillId="0" borderId="3" xfId="0" applyNumberFormat="1" applyFont="1" applyBorder="1" applyAlignment="1">
      <alignment wrapText="1" readingOrder="1"/>
    </xf>
    <xf numFmtId="0" fontId="14" fillId="0" borderId="3" xfId="0" applyFont="1" applyBorder="1" applyAlignment="1">
      <alignment wrapText="1" readingOrder="1"/>
    </xf>
    <xf numFmtId="49" fontId="2" fillId="0" borderId="3" xfId="0" applyNumberFormat="1" applyFont="1" applyBorder="1" applyAlignment="1">
      <alignment wrapText="1" readingOrder="1"/>
    </xf>
    <xf numFmtId="0" fontId="2" fillId="0" borderId="3" xfId="0" applyFont="1" applyBorder="1" applyAlignment="1">
      <alignment readingOrder="1"/>
    </xf>
    <xf numFmtId="49" fontId="4" fillId="0" borderId="3" xfId="0" applyNumberFormat="1" applyFont="1" applyBorder="1" applyAlignment="1">
      <alignment wrapText="1" readingOrder="1"/>
    </xf>
    <xf numFmtId="0" fontId="0" fillId="0" borderId="3" xfId="0" applyBorder="1"/>
    <xf numFmtId="0" fontId="0" fillId="0" borderId="0" xfId="0" applyAlignment="1">
      <alignment wrapText="1"/>
    </xf>
    <xf numFmtId="0" fontId="15" fillId="2" borderId="0" xfId="0" applyFont="1" applyFill="1" applyAlignment="1">
      <alignment readingOrder="1"/>
    </xf>
    <xf numFmtId="0" fontId="15" fillId="2" borderId="0" xfId="0" quotePrefix="1" applyFont="1" applyFill="1" applyAlignment="1">
      <alignment readingOrder="1"/>
    </xf>
    <xf numFmtId="0" fontId="1" fillId="0" borderId="4" xfId="0" applyFont="1" applyBorder="1" applyAlignment="1">
      <alignment wrapText="1" readingOrder="1"/>
    </xf>
    <xf numFmtId="0" fontId="0" fillId="0" borderId="4" xfId="0" applyBorder="1"/>
    <xf numFmtId="0" fontId="4" fillId="0" borderId="4" xfId="0" applyFont="1" applyBorder="1" applyAlignment="1">
      <alignment wrapText="1" readingOrder="1"/>
    </xf>
    <xf numFmtId="0" fontId="4" fillId="0" borderId="4" xfId="0" quotePrefix="1" applyFont="1" applyBorder="1" applyAlignment="1">
      <alignment wrapText="1" readingOrder="1"/>
    </xf>
    <xf numFmtId="0" fontId="11" fillId="0" borderId="4" xfId="0" applyFont="1" applyBorder="1" applyAlignment="1">
      <alignment wrapText="1" readingOrder="1"/>
    </xf>
    <xf numFmtId="2" fontId="6" fillId="0" borderId="3" xfId="0" applyNumberFormat="1" applyFont="1" applyBorder="1" applyAlignment="1">
      <alignment wrapText="1" readingOrder="1"/>
    </xf>
    <xf numFmtId="2" fontId="2" fillId="0" borderId="3" xfId="0" applyNumberFormat="1" applyFont="1" applyBorder="1" applyAlignment="1">
      <alignment wrapText="1" readingOrder="1"/>
    </xf>
    <xf numFmtId="0" fontId="6" fillId="0" borderId="3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2665-EF3F-472F-96BD-7581C81850E4}">
  <sheetPr codeName="Sheet2"/>
  <dimension ref="A1:K22"/>
  <sheetViews>
    <sheetView workbookViewId="0">
      <selection activeCell="E29" sqref="E29"/>
    </sheetView>
  </sheetViews>
  <sheetFormatPr defaultColWidth="8.85546875" defaultRowHeight="15" x14ac:dyDescent="0.25"/>
  <cols>
    <col min="1" max="8" width="14.7109375" customWidth="1"/>
  </cols>
  <sheetData>
    <row r="1" spans="1:11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</row>
    <row r="2" spans="1:11" x14ac:dyDescent="0.25">
      <c r="A2" s="8" t="s">
        <v>161</v>
      </c>
      <c r="B2" s="8" t="s">
        <v>161</v>
      </c>
      <c r="C2" s="8" t="s">
        <v>162</v>
      </c>
      <c r="D2" s="8" t="s">
        <v>162</v>
      </c>
      <c r="E2" s="8" t="s">
        <v>162</v>
      </c>
      <c r="F2" s="8" t="s">
        <v>162</v>
      </c>
      <c r="G2" s="8" t="s">
        <v>162</v>
      </c>
      <c r="H2" s="8" t="s">
        <v>162</v>
      </c>
    </row>
    <row r="3" spans="1:11" x14ac:dyDescent="0.25">
      <c r="A3" s="8" t="s">
        <v>163</v>
      </c>
      <c r="B3" s="9" t="s">
        <v>13</v>
      </c>
      <c r="C3" s="9">
        <v>16.8</v>
      </c>
      <c r="D3" s="9">
        <v>0.628</v>
      </c>
      <c r="E3" s="9">
        <v>0.52800000000000002</v>
      </c>
      <c r="F3" s="9">
        <v>45.8</v>
      </c>
      <c r="G3" s="9">
        <v>43.4</v>
      </c>
      <c r="H3" s="9">
        <v>229.2</v>
      </c>
    </row>
    <row r="4" spans="1:11" x14ac:dyDescent="0.25">
      <c r="A4" s="8" t="s">
        <v>163</v>
      </c>
      <c r="B4" s="8" t="s">
        <v>19</v>
      </c>
      <c r="C4" s="8">
        <v>29.5</v>
      </c>
      <c r="D4" s="8">
        <v>2.7</v>
      </c>
      <c r="E4" s="8">
        <v>2.411</v>
      </c>
      <c r="F4" s="8">
        <v>17.2</v>
      </c>
      <c r="G4" s="8">
        <v>16.71</v>
      </c>
      <c r="H4" s="8">
        <v>403</v>
      </c>
    </row>
    <row r="5" spans="1:11" x14ac:dyDescent="0.25">
      <c r="A5" s="8" t="s">
        <v>163</v>
      </c>
      <c r="B5" s="8" t="s">
        <v>25</v>
      </c>
      <c r="C5" s="8">
        <v>31.5</v>
      </c>
      <c r="D5" s="8">
        <v>3.4260000000000002</v>
      </c>
      <c r="E5" s="8">
        <v>2.9990000000000001</v>
      </c>
      <c r="F5" s="8">
        <v>15.2</v>
      </c>
      <c r="G5" s="8">
        <v>14.37</v>
      </c>
      <c r="H5" s="8">
        <v>431</v>
      </c>
    </row>
    <row r="6" spans="1:11" x14ac:dyDescent="0.25">
      <c r="A6" s="8" t="s">
        <v>163</v>
      </c>
      <c r="B6" s="8" t="s">
        <v>28</v>
      </c>
      <c r="C6" s="8">
        <v>28</v>
      </c>
      <c r="D6" s="8">
        <v>2.6669999999999998</v>
      </c>
      <c r="E6" s="8">
        <v>2.37</v>
      </c>
      <c r="F6" s="8">
        <v>16.77</v>
      </c>
      <c r="G6" s="8">
        <v>16.14</v>
      </c>
      <c r="H6" s="8">
        <v>1367</v>
      </c>
      <c r="K6" s="5"/>
    </row>
    <row r="7" spans="1:11" x14ac:dyDescent="0.25">
      <c r="A7" s="8" t="s">
        <v>30</v>
      </c>
      <c r="B7" s="8" t="s">
        <v>31</v>
      </c>
      <c r="C7" s="8">
        <v>29.5</v>
      </c>
      <c r="D7" s="8">
        <v>2.726</v>
      </c>
      <c r="E7" s="8">
        <v>2.41</v>
      </c>
      <c r="F7" s="8">
        <v>17.399999999999999</v>
      </c>
      <c r="G7" s="8">
        <v>16.5</v>
      </c>
      <c r="H7" s="8">
        <v>397.7</v>
      </c>
    </row>
    <row r="8" spans="1:11" x14ac:dyDescent="0.25">
      <c r="A8" s="8" t="s">
        <v>30</v>
      </c>
      <c r="B8" s="8" t="s">
        <v>32</v>
      </c>
      <c r="C8" s="8">
        <v>29.4</v>
      </c>
      <c r="D8" s="8">
        <v>2.69</v>
      </c>
      <c r="E8" s="8">
        <v>2.39</v>
      </c>
      <c r="F8" s="8">
        <v>17.100000000000001</v>
      </c>
      <c r="G8" s="8">
        <v>16.649999999999999</v>
      </c>
      <c r="H8" s="8">
        <v>397.9</v>
      </c>
    </row>
    <row r="9" spans="1:11" x14ac:dyDescent="0.25">
      <c r="A9" s="8" t="s">
        <v>30</v>
      </c>
      <c r="B9" s="8" t="s">
        <v>34</v>
      </c>
      <c r="C9" s="8">
        <v>30.2</v>
      </c>
      <c r="D9" s="8">
        <v>2.73</v>
      </c>
      <c r="E9" s="8">
        <v>2.4300000000000002</v>
      </c>
      <c r="F9" s="8">
        <v>17.399999999999999</v>
      </c>
      <c r="G9" s="8">
        <v>16.8</v>
      </c>
      <c r="H9" s="8">
        <v>408.2</v>
      </c>
    </row>
    <row r="10" spans="1:11" x14ac:dyDescent="0.25">
      <c r="A10" s="8" t="s">
        <v>30</v>
      </c>
      <c r="B10" s="8" t="s">
        <v>35</v>
      </c>
      <c r="C10" s="8">
        <v>30</v>
      </c>
      <c r="D10" s="8">
        <v>3.95</v>
      </c>
      <c r="E10" s="8">
        <v>3.54</v>
      </c>
      <c r="F10" s="8">
        <v>12</v>
      </c>
      <c r="G10" s="8">
        <v>11.5</v>
      </c>
      <c r="H10" s="8">
        <v>407.1</v>
      </c>
    </row>
    <row r="11" spans="1:11" x14ac:dyDescent="0.25">
      <c r="A11" s="8" t="s">
        <v>30</v>
      </c>
      <c r="B11" s="8" t="s">
        <v>38</v>
      </c>
      <c r="C11" s="8">
        <v>32</v>
      </c>
      <c r="D11" s="8">
        <v>4.78</v>
      </c>
      <c r="E11" s="8">
        <v>4.28</v>
      </c>
      <c r="F11" s="8">
        <v>10.7</v>
      </c>
      <c r="G11" s="8">
        <v>10.119999999999999</v>
      </c>
      <c r="H11" s="8">
        <v>433.1</v>
      </c>
    </row>
    <row r="12" spans="1:11" x14ac:dyDescent="0.25">
      <c r="A12" s="8" t="s">
        <v>30</v>
      </c>
      <c r="B12" s="8" t="s">
        <v>41</v>
      </c>
      <c r="C12" s="8">
        <v>29.5</v>
      </c>
      <c r="D12" s="8">
        <v>2.72</v>
      </c>
      <c r="E12" s="8">
        <v>2.38</v>
      </c>
      <c r="F12" s="8">
        <v>17.100000000000001</v>
      </c>
      <c r="G12" s="8">
        <v>16.5</v>
      </c>
      <c r="H12" s="8">
        <v>392</v>
      </c>
    </row>
    <row r="13" spans="1:11" x14ac:dyDescent="0.25">
      <c r="A13" s="8" t="s">
        <v>45</v>
      </c>
      <c r="B13" s="8" t="s">
        <v>46</v>
      </c>
      <c r="C13" s="8">
        <v>29.5</v>
      </c>
      <c r="D13" s="8">
        <v>2.633</v>
      </c>
      <c r="E13" s="8">
        <v>2.3479999999999999</v>
      </c>
      <c r="F13" s="8">
        <v>17.760000000000002</v>
      </c>
      <c r="G13" s="8">
        <v>17.02</v>
      </c>
      <c r="H13" s="8">
        <v>399.6</v>
      </c>
    </row>
    <row r="14" spans="1:11" x14ac:dyDescent="0.25">
      <c r="A14" s="8" t="s">
        <v>45</v>
      </c>
      <c r="B14" s="8" t="s">
        <v>47</v>
      </c>
      <c r="C14" s="8">
        <v>30.7</v>
      </c>
      <c r="D14" s="8">
        <v>2.7149999999999999</v>
      </c>
      <c r="E14" s="8">
        <v>2.39</v>
      </c>
      <c r="F14" s="8">
        <v>18.100000000000001</v>
      </c>
      <c r="G14" s="8">
        <v>17.399999999999999</v>
      </c>
      <c r="H14" s="8">
        <v>415.9</v>
      </c>
    </row>
    <row r="15" spans="1:11" x14ac:dyDescent="0.25">
      <c r="A15" s="8" t="s">
        <v>45</v>
      </c>
      <c r="B15" s="8" t="s">
        <v>51</v>
      </c>
      <c r="C15" s="8">
        <v>32.200000000000003</v>
      </c>
      <c r="D15" s="8">
        <v>2.75</v>
      </c>
      <c r="E15" s="8">
        <v>2.4350000000000001</v>
      </c>
      <c r="F15" s="8">
        <v>18.600000000000001</v>
      </c>
      <c r="G15" s="8">
        <v>17.8</v>
      </c>
      <c r="H15" s="8">
        <v>433.4</v>
      </c>
    </row>
    <row r="16" spans="1:11" x14ac:dyDescent="0.25">
      <c r="A16" s="8" t="s">
        <v>45</v>
      </c>
      <c r="B16" s="8" t="s">
        <v>52</v>
      </c>
      <c r="C16" s="8">
        <v>32.1</v>
      </c>
      <c r="D16" s="8">
        <v>2.782</v>
      </c>
      <c r="E16" s="8">
        <v>2.4900000000000002</v>
      </c>
      <c r="F16" s="8">
        <v>18</v>
      </c>
      <c r="G16" s="8">
        <v>17.399999999999999</v>
      </c>
      <c r="H16" s="8">
        <v>427.9</v>
      </c>
    </row>
    <row r="17" spans="1:8" x14ac:dyDescent="0.25">
      <c r="A17" s="8" t="s">
        <v>45</v>
      </c>
      <c r="B17" s="8" t="s">
        <v>56</v>
      </c>
      <c r="C17" s="8">
        <v>31.6</v>
      </c>
      <c r="D17" s="8">
        <v>2.7549999999999999</v>
      </c>
      <c r="E17" s="8">
        <v>2.4590000000000001</v>
      </c>
      <c r="F17" s="8">
        <v>18.100000000000001</v>
      </c>
      <c r="G17" s="8">
        <v>17.399999999999999</v>
      </c>
      <c r="H17" s="8">
        <v>427.9</v>
      </c>
    </row>
    <row r="18" spans="1:8" x14ac:dyDescent="0.25">
      <c r="A18" s="8" t="s">
        <v>45</v>
      </c>
      <c r="B18" s="8" t="s">
        <v>60</v>
      </c>
      <c r="C18" s="8">
        <v>28.4</v>
      </c>
      <c r="D18" s="8">
        <v>2.66</v>
      </c>
      <c r="E18" s="8">
        <v>2.35</v>
      </c>
      <c r="F18" s="8">
        <v>17.14</v>
      </c>
      <c r="G18" s="8">
        <v>16.38</v>
      </c>
      <c r="H18" s="8">
        <v>384.93</v>
      </c>
    </row>
    <row r="19" spans="1:8" x14ac:dyDescent="0.25">
      <c r="A19" s="8" t="s">
        <v>45</v>
      </c>
      <c r="B19" s="8" t="s">
        <v>63</v>
      </c>
      <c r="C19" s="8">
        <v>27</v>
      </c>
      <c r="D19" s="8">
        <v>2.52</v>
      </c>
      <c r="E19" s="8">
        <v>2.19</v>
      </c>
      <c r="F19" s="8">
        <v>32</v>
      </c>
      <c r="G19" s="8">
        <v>28</v>
      </c>
      <c r="H19" s="8">
        <v>270</v>
      </c>
    </row>
    <row r="20" spans="1:8" x14ac:dyDescent="0.25">
      <c r="A20" s="8" t="s">
        <v>45</v>
      </c>
      <c r="B20" s="8" t="s">
        <v>64</v>
      </c>
      <c r="C20" s="8">
        <v>26.8</v>
      </c>
      <c r="D20" s="8">
        <v>2.5649999999999999</v>
      </c>
      <c r="E20" s="8">
        <v>2.27</v>
      </c>
      <c r="F20" s="8">
        <v>16.899999999999999</v>
      </c>
      <c r="G20" s="8">
        <v>16</v>
      </c>
      <c r="H20" s="8">
        <v>1353</v>
      </c>
    </row>
    <row r="21" spans="1:8" x14ac:dyDescent="0.25">
      <c r="A21" s="8" t="s">
        <v>68</v>
      </c>
      <c r="B21" s="8" t="s">
        <v>69</v>
      </c>
      <c r="C21" s="8">
        <v>28.5</v>
      </c>
      <c r="D21" s="8">
        <v>2.7</v>
      </c>
      <c r="E21" s="8">
        <v>2.37</v>
      </c>
      <c r="F21" s="8">
        <v>17.100000000000001</v>
      </c>
      <c r="G21" s="8">
        <v>16.3</v>
      </c>
      <c r="H21" s="8">
        <v>386</v>
      </c>
    </row>
    <row r="22" spans="1:8" x14ac:dyDescent="0.25">
      <c r="A22" s="8" t="s">
        <v>68</v>
      </c>
      <c r="B22" s="8" t="s">
        <v>31</v>
      </c>
      <c r="C22" s="8">
        <v>29.5</v>
      </c>
      <c r="D22" s="8">
        <v>2.726</v>
      </c>
      <c r="E22" s="8">
        <v>2.41</v>
      </c>
      <c r="F22" s="8">
        <v>17.399999999999999</v>
      </c>
      <c r="G22" s="8">
        <v>16.5</v>
      </c>
      <c r="H22" s="8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4F3D-1D6C-4E33-910A-877303CD0B74}">
  <sheetPr codeName="Sheet3"/>
  <dimension ref="A1:H44"/>
  <sheetViews>
    <sheetView zoomScaleNormal="100" workbookViewId="0">
      <selection activeCell="B45" sqref="B45"/>
    </sheetView>
  </sheetViews>
  <sheetFormatPr defaultColWidth="8.85546875" defaultRowHeight="15" x14ac:dyDescent="0.25"/>
  <cols>
    <col min="1" max="8" width="13.7109375" customWidth="1"/>
  </cols>
  <sheetData>
    <row r="1" spans="1:8" ht="39" x14ac:dyDescent="0.25">
      <c r="A1" s="10" t="s">
        <v>0</v>
      </c>
      <c r="B1" s="10" t="s">
        <v>8</v>
      </c>
      <c r="C1" s="10" t="s">
        <v>164</v>
      </c>
      <c r="D1" s="10" t="s">
        <v>165</v>
      </c>
      <c r="E1" s="10" t="s">
        <v>166</v>
      </c>
      <c r="F1" s="10" t="s">
        <v>167</v>
      </c>
      <c r="G1" s="10" t="s">
        <v>9</v>
      </c>
      <c r="H1" s="10" t="s">
        <v>10</v>
      </c>
    </row>
    <row r="2" spans="1:8" x14ac:dyDescent="0.25">
      <c r="A2" s="10" t="s">
        <v>161</v>
      </c>
      <c r="B2" s="10" t="s">
        <v>161</v>
      </c>
      <c r="C2" s="10" t="s">
        <v>161</v>
      </c>
      <c r="D2" s="10" t="s">
        <v>161</v>
      </c>
      <c r="E2" s="10" t="s">
        <v>161</v>
      </c>
      <c r="F2" s="10" t="s">
        <v>161</v>
      </c>
      <c r="G2" s="10" t="s">
        <v>162</v>
      </c>
      <c r="H2" s="10" t="s">
        <v>162</v>
      </c>
    </row>
    <row r="3" spans="1:8" ht="26.25" x14ac:dyDescent="0.25">
      <c r="A3" s="11" t="s">
        <v>14</v>
      </c>
      <c r="B3" s="11" t="s">
        <v>15</v>
      </c>
      <c r="C3" s="11" t="s">
        <v>168</v>
      </c>
      <c r="D3" s="11"/>
      <c r="E3" s="11" t="s">
        <v>169</v>
      </c>
      <c r="F3" s="11"/>
      <c r="G3" s="11"/>
      <c r="H3" s="11">
        <v>9.25</v>
      </c>
    </row>
    <row r="4" spans="1:8" ht="26.25" x14ac:dyDescent="0.25">
      <c r="A4" s="11" t="s">
        <v>20</v>
      </c>
      <c r="B4" s="11" t="s">
        <v>21</v>
      </c>
      <c r="C4" s="11" t="s">
        <v>168</v>
      </c>
      <c r="D4" s="11"/>
      <c r="E4" s="11" t="s">
        <v>169</v>
      </c>
      <c r="F4" s="11"/>
      <c r="G4" s="11"/>
      <c r="H4" s="11">
        <f>AVERAGE(28,118)</f>
        <v>73</v>
      </c>
    </row>
    <row r="5" spans="1:8" ht="39" x14ac:dyDescent="0.25">
      <c r="A5" s="11" t="s">
        <v>26</v>
      </c>
      <c r="B5" s="11" t="s">
        <v>27</v>
      </c>
      <c r="C5" s="11" t="s">
        <v>168</v>
      </c>
      <c r="D5" s="11" t="s">
        <v>170</v>
      </c>
      <c r="E5" s="11"/>
      <c r="F5" s="11"/>
      <c r="G5" s="11">
        <v>50</v>
      </c>
      <c r="H5" s="11">
        <v>2</v>
      </c>
    </row>
    <row r="6" spans="1:8" ht="39" x14ac:dyDescent="0.25">
      <c r="A6" s="11" t="s">
        <v>26</v>
      </c>
      <c r="B6" s="11" t="s">
        <v>27</v>
      </c>
      <c r="C6" s="11" t="s">
        <v>168</v>
      </c>
      <c r="D6" s="11" t="s">
        <v>170</v>
      </c>
      <c r="E6" s="11"/>
      <c r="F6" s="11"/>
      <c r="G6" s="11">
        <v>49</v>
      </c>
      <c r="H6" s="11">
        <v>4</v>
      </c>
    </row>
    <row r="7" spans="1:8" ht="39" x14ac:dyDescent="0.25">
      <c r="A7" s="11" t="s">
        <v>26</v>
      </c>
      <c r="B7" s="11" t="s">
        <v>27</v>
      </c>
      <c r="C7" s="11" t="s">
        <v>168</v>
      </c>
      <c r="D7" s="11" t="s">
        <v>170</v>
      </c>
      <c r="E7" s="11"/>
      <c r="F7" s="11"/>
      <c r="G7" s="11">
        <v>75</v>
      </c>
      <c r="H7" s="11">
        <v>8</v>
      </c>
    </row>
    <row r="8" spans="1:8" ht="39" x14ac:dyDescent="0.25">
      <c r="A8" s="11" t="s">
        <v>26</v>
      </c>
      <c r="B8" s="11" t="s">
        <v>27</v>
      </c>
      <c r="C8" s="11" t="s">
        <v>168</v>
      </c>
      <c r="D8" s="11" t="s">
        <v>170</v>
      </c>
      <c r="E8" s="11"/>
      <c r="F8" s="11"/>
      <c r="G8" s="11">
        <v>68</v>
      </c>
      <c r="H8" s="11">
        <v>18</v>
      </c>
    </row>
    <row r="9" spans="1:8" ht="39" x14ac:dyDescent="0.25">
      <c r="A9" s="11" t="s">
        <v>26</v>
      </c>
      <c r="B9" s="11" t="s">
        <v>27</v>
      </c>
      <c r="C9" s="11" t="s">
        <v>168</v>
      </c>
      <c r="D9" s="11" t="s">
        <v>170</v>
      </c>
      <c r="E9" s="11" t="s">
        <v>169</v>
      </c>
      <c r="F9" s="11" t="s">
        <v>171</v>
      </c>
      <c r="G9" s="11">
        <v>42</v>
      </c>
      <c r="H9" s="11">
        <v>12</v>
      </c>
    </row>
    <row r="10" spans="1:8" ht="39" x14ac:dyDescent="0.25">
      <c r="A10" s="11" t="s">
        <v>26</v>
      </c>
      <c r="B10" s="11" t="s">
        <v>27</v>
      </c>
      <c r="C10" s="11" t="s">
        <v>168</v>
      </c>
      <c r="D10" s="11" t="s">
        <v>170</v>
      </c>
      <c r="E10" s="11" t="s">
        <v>169</v>
      </c>
      <c r="F10" s="11" t="s">
        <v>171</v>
      </c>
      <c r="G10" s="11">
        <v>69</v>
      </c>
      <c r="H10" s="11">
        <v>57</v>
      </c>
    </row>
    <row r="11" spans="1:8" ht="39" x14ac:dyDescent="0.25">
      <c r="A11" s="11" t="s">
        <v>26</v>
      </c>
      <c r="B11" s="11" t="s">
        <v>27</v>
      </c>
      <c r="C11" s="11"/>
      <c r="D11" s="11" t="s">
        <v>170</v>
      </c>
      <c r="E11" s="11" t="s">
        <v>169</v>
      </c>
      <c r="F11" s="11" t="s">
        <v>172</v>
      </c>
      <c r="G11" s="11">
        <v>108</v>
      </c>
      <c r="H11" s="11">
        <v>34</v>
      </c>
    </row>
    <row r="12" spans="1:8" ht="39" x14ac:dyDescent="0.25">
      <c r="A12" s="11" t="s">
        <v>26</v>
      </c>
      <c r="B12" s="11" t="s">
        <v>27</v>
      </c>
      <c r="C12" s="11"/>
      <c r="D12" s="11" t="s">
        <v>173</v>
      </c>
      <c r="E12" s="11" t="s">
        <v>169</v>
      </c>
      <c r="F12" s="11" t="s">
        <v>172</v>
      </c>
      <c r="G12" s="11">
        <v>69</v>
      </c>
      <c r="H12" s="11">
        <v>68</v>
      </c>
    </row>
    <row r="13" spans="1:8" ht="39" x14ac:dyDescent="0.25">
      <c r="A13" s="11" t="s">
        <v>26</v>
      </c>
      <c r="B13" s="11" t="s">
        <v>27</v>
      </c>
      <c r="C13" s="11" t="s">
        <v>168</v>
      </c>
      <c r="D13" s="11" t="s">
        <v>170</v>
      </c>
      <c r="E13" s="11"/>
      <c r="F13" s="11"/>
      <c r="G13" s="11">
        <v>50</v>
      </c>
      <c r="H13" s="11">
        <v>2</v>
      </c>
    </row>
    <row r="14" spans="1:8" ht="39" x14ac:dyDescent="0.25">
      <c r="A14" s="11" t="s">
        <v>26</v>
      </c>
      <c r="B14" s="11" t="s">
        <v>27</v>
      </c>
      <c r="C14" s="11" t="s">
        <v>168</v>
      </c>
      <c r="D14" s="11" t="s">
        <v>170</v>
      </c>
      <c r="E14" s="11"/>
      <c r="F14" s="11"/>
      <c r="G14" s="11">
        <v>49</v>
      </c>
      <c r="H14" s="11">
        <v>4</v>
      </c>
    </row>
    <row r="15" spans="1:8" ht="39" x14ac:dyDescent="0.25">
      <c r="A15" s="11" t="s">
        <v>26</v>
      </c>
      <c r="B15" s="11" t="s">
        <v>73</v>
      </c>
      <c r="C15" s="11"/>
      <c r="D15" s="11" t="s">
        <v>174</v>
      </c>
      <c r="E15" s="11"/>
      <c r="F15" s="11"/>
      <c r="G15" s="11">
        <v>84</v>
      </c>
      <c r="H15" s="11">
        <v>179</v>
      </c>
    </row>
    <row r="16" spans="1:8" ht="39" x14ac:dyDescent="0.25">
      <c r="A16" s="11" t="s">
        <v>26</v>
      </c>
      <c r="B16" s="11" t="s">
        <v>73</v>
      </c>
      <c r="D16" s="11" t="s">
        <v>174</v>
      </c>
      <c r="E16" s="11"/>
      <c r="F16" s="11"/>
      <c r="G16" s="11">
        <v>90</v>
      </c>
      <c r="H16" s="11">
        <v>171</v>
      </c>
    </row>
    <row r="17" spans="1:8" ht="39" x14ac:dyDescent="0.25">
      <c r="A17" s="11" t="s">
        <v>26</v>
      </c>
      <c r="B17" s="11" t="s">
        <v>73</v>
      </c>
      <c r="D17" s="11" t="s">
        <v>175</v>
      </c>
      <c r="E17" s="11"/>
      <c r="F17" s="11"/>
      <c r="G17" s="11">
        <v>140</v>
      </c>
      <c r="H17" s="11">
        <v>96</v>
      </c>
    </row>
    <row r="18" spans="1:8" ht="51.75" x14ac:dyDescent="0.25">
      <c r="A18" s="11" t="s">
        <v>26</v>
      </c>
      <c r="B18" s="11" t="s">
        <v>75</v>
      </c>
      <c r="D18" s="11" t="s">
        <v>174</v>
      </c>
      <c r="E18" s="11"/>
      <c r="F18" s="11"/>
      <c r="G18" s="11">
        <v>57</v>
      </c>
      <c r="H18" s="11">
        <v>697</v>
      </c>
    </row>
    <row r="19" spans="1:8" ht="26.25" x14ac:dyDescent="0.25">
      <c r="A19" s="11" t="s">
        <v>78</v>
      </c>
      <c r="B19" s="11" t="s">
        <v>79</v>
      </c>
      <c r="C19" s="11"/>
      <c r="D19" s="11"/>
      <c r="E19" s="11" t="s">
        <v>176</v>
      </c>
      <c r="F19" s="11"/>
      <c r="G19" s="11">
        <v>140</v>
      </c>
      <c r="H19" s="11">
        <v>150</v>
      </c>
    </row>
    <row r="20" spans="1:8" x14ac:dyDescent="0.25">
      <c r="A20" s="11" t="s">
        <v>81</v>
      </c>
      <c r="B20" s="11" t="s">
        <v>82</v>
      </c>
      <c r="C20" s="11"/>
      <c r="D20" s="11" t="s">
        <v>177</v>
      </c>
      <c r="E20" s="11" t="s">
        <v>169</v>
      </c>
      <c r="F20" s="11"/>
      <c r="G20" s="11">
        <v>121</v>
      </c>
      <c r="H20" s="11">
        <f>AVERAGE(36,112)</f>
        <v>74</v>
      </c>
    </row>
    <row r="21" spans="1:8" x14ac:dyDescent="0.25">
      <c r="A21" s="11" t="s">
        <v>81</v>
      </c>
      <c r="B21" s="11" t="s">
        <v>84</v>
      </c>
      <c r="C21" s="11"/>
      <c r="D21" s="11" t="s">
        <v>177</v>
      </c>
      <c r="E21" s="11" t="s">
        <v>169</v>
      </c>
      <c r="F21" s="11"/>
      <c r="G21" s="11">
        <v>95</v>
      </c>
      <c r="H21" s="11">
        <v>36</v>
      </c>
    </row>
    <row r="22" spans="1:8" ht="26.25" x14ac:dyDescent="0.25">
      <c r="A22" s="11" t="s">
        <v>81</v>
      </c>
      <c r="B22" s="11" t="s">
        <v>86</v>
      </c>
      <c r="C22" s="11"/>
      <c r="D22" s="11" t="s">
        <v>177</v>
      </c>
      <c r="E22" s="11" t="s">
        <v>169</v>
      </c>
      <c r="F22" s="11"/>
      <c r="G22" s="11">
        <v>100</v>
      </c>
      <c r="H22" s="11">
        <f>AVERAGE(45,310)</f>
        <v>177.5</v>
      </c>
    </row>
    <row r="23" spans="1:8" ht="39" x14ac:dyDescent="0.25">
      <c r="A23" s="11" t="s">
        <v>87</v>
      </c>
      <c r="B23" s="11" t="s">
        <v>88</v>
      </c>
      <c r="C23" s="11"/>
      <c r="D23" s="11"/>
      <c r="E23" s="11" t="s">
        <v>169</v>
      </c>
      <c r="F23" s="11"/>
      <c r="G23" s="11">
        <v>165</v>
      </c>
      <c r="H23" s="11">
        <v>66</v>
      </c>
    </row>
    <row r="24" spans="1:8" ht="39" x14ac:dyDescent="0.25">
      <c r="A24" s="11" t="s">
        <v>89</v>
      </c>
      <c r="B24" s="11" t="s">
        <v>90</v>
      </c>
      <c r="C24" s="11"/>
      <c r="D24" s="11"/>
      <c r="E24" s="11" t="s">
        <v>169</v>
      </c>
      <c r="F24" s="11"/>
      <c r="G24" s="11">
        <v>107</v>
      </c>
      <c r="H24" s="11">
        <v>7.2</v>
      </c>
    </row>
    <row r="25" spans="1:8" ht="39" x14ac:dyDescent="0.25">
      <c r="A25" s="11" t="s">
        <v>22</v>
      </c>
      <c r="B25" s="11" t="s">
        <v>178</v>
      </c>
      <c r="C25" s="11"/>
      <c r="D25" s="11"/>
      <c r="E25" s="11" t="s">
        <v>169</v>
      </c>
      <c r="F25" s="11"/>
      <c r="G25" s="11">
        <v>48</v>
      </c>
      <c r="H25" s="11">
        <f>1.2*18</f>
        <v>21.599999999999998</v>
      </c>
    </row>
    <row r="26" spans="1:8" ht="26.25" x14ac:dyDescent="0.25">
      <c r="A26" s="11" t="s">
        <v>22</v>
      </c>
      <c r="B26" s="12" t="s">
        <v>92</v>
      </c>
      <c r="C26" s="11"/>
      <c r="D26" s="11"/>
      <c r="E26" s="11" t="s">
        <v>93</v>
      </c>
      <c r="F26" s="11"/>
      <c r="G26" s="11">
        <v>64.5</v>
      </c>
      <c r="H26" s="11">
        <v>2.4</v>
      </c>
    </row>
    <row r="27" spans="1:8" ht="39" x14ac:dyDescent="0.25">
      <c r="A27" s="11" t="s">
        <v>22</v>
      </c>
      <c r="B27" s="12" t="s">
        <v>179</v>
      </c>
      <c r="C27" s="11"/>
      <c r="D27" s="11"/>
      <c r="E27" s="11" t="s">
        <v>93</v>
      </c>
      <c r="F27" s="11"/>
      <c r="G27" s="11">
        <v>42</v>
      </c>
      <c r="H27" s="11">
        <v>19.2</v>
      </c>
    </row>
    <row r="28" spans="1:8" ht="26.25" x14ac:dyDescent="0.25">
      <c r="A28" s="11" t="s">
        <v>22</v>
      </c>
      <c r="B28" s="12" t="s">
        <v>95</v>
      </c>
      <c r="C28" s="11"/>
      <c r="D28" s="11"/>
      <c r="E28" s="11" t="s">
        <v>169</v>
      </c>
      <c r="F28" s="11"/>
      <c r="G28" s="11">
        <v>60</v>
      </c>
      <c r="H28" s="11">
        <v>45</v>
      </c>
    </row>
    <row r="29" spans="1:8" ht="26.25" x14ac:dyDescent="0.25">
      <c r="A29" s="11" t="s">
        <v>96</v>
      </c>
      <c r="B29" s="11" t="s">
        <v>97</v>
      </c>
      <c r="C29" s="11" t="s">
        <v>168</v>
      </c>
      <c r="D29" s="11"/>
      <c r="E29" s="11" t="s">
        <v>169</v>
      </c>
      <c r="F29" s="11"/>
      <c r="G29" s="11">
        <v>46</v>
      </c>
      <c r="H29" s="11">
        <v>2.2999999999999998</v>
      </c>
    </row>
    <row r="30" spans="1:8" x14ac:dyDescent="0.25">
      <c r="A30" s="11" t="s">
        <v>98</v>
      </c>
      <c r="B30" s="11" t="s">
        <v>99</v>
      </c>
      <c r="C30" s="11"/>
      <c r="D30" s="11"/>
      <c r="E30" s="11" t="s">
        <v>176</v>
      </c>
      <c r="F30" s="11"/>
      <c r="G30" s="11">
        <v>100</v>
      </c>
      <c r="H30" s="11">
        <v>1000</v>
      </c>
    </row>
    <row r="31" spans="1:8" ht="26.25" x14ac:dyDescent="0.25">
      <c r="A31" s="11" t="s">
        <v>98</v>
      </c>
      <c r="B31" s="11" t="s">
        <v>100</v>
      </c>
      <c r="C31" s="11"/>
      <c r="D31" s="11"/>
      <c r="E31" s="11" t="s">
        <v>180</v>
      </c>
      <c r="F31" s="11"/>
      <c r="G31" s="11">
        <v>80</v>
      </c>
      <c r="H31" s="11">
        <v>300</v>
      </c>
    </row>
    <row r="32" spans="1:8" x14ac:dyDescent="0.25">
      <c r="A32" s="11" t="s">
        <v>101</v>
      </c>
      <c r="B32" s="11" t="s">
        <v>102</v>
      </c>
      <c r="C32" s="11"/>
      <c r="D32" s="11"/>
      <c r="E32" s="11" t="s">
        <v>169</v>
      </c>
      <c r="F32" s="11"/>
      <c r="G32" s="11">
        <v>50</v>
      </c>
      <c r="H32" s="11">
        <v>2.4</v>
      </c>
    </row>
    <row r="33" spans="1:8" ht="26.25" x14ac:dyDescent="0.25">
      <c r="A33" s="11" t="s">
        <v>101</v>
      </c>
      <c r="B33" s="11" t="s">
        <v>103</v>
      </c>
      <c r="C33" s="11"/>
      <c r="D33" s="11"/>
      <c r="E33" s="11" t="s">
        <v>169</v>
      </c>
      <c r="F33" s="11"/>
      <c r="G33" s="11">
        <v>55</v>
      </c>
      <c r="H33" s="11">
        <v>2.4</v>
      </c>
    </row>
    <row r="34" spans="1:8" ht="26.25" x14ac:dyDescent="0.25">
      <c r="A34" s="11" t="s">
        <v>101</v>
      </c>
      <c r="B34" s="11" t="s">
        <v>110</v>
      </c>
      <c r="C34" s="11"/>
      <c r="D34" s="11"/>
      <c r="E34" s="11" t="s">
        <v>169</v>
      </c>
      <c r="F34" s="11"/>
      <c r="G34" s="11">
        <v>66</v>
      </c>
      <c r="H34" s="11">
        <v>8.4</v>
      </c>
    </row>
    <row r="35" spans="1:8" ht="26.25" x14ac:dyDescent="0.25">
      <c r="A35" s="11" t="s">
        <v>101</v>
      </c>
      <c r="B35" s="11" t="s">
        <v>113</v>
      </c>
      <c r="C35" s="11"/>
      <c r="D35" s="11"/>
      <c r="E35" s="11" t="s">
        <v>169</v>
      </c>
      <c r="F35" s="11"/>
      <c r="G35" s="11">
        <v>64</v>
      </c>
      <c r="H35" s="11">
        <v>19.2</v>
      </c>
    </row>
    <row r="36" spans="1:8" ht="26.25" x14ac:dyDescent="0.25">
      <c r="A36" s="11" t="s">
        <v>101</v>
      </c>
      <c r="B36" s="11" t="s">
        <v>115</v>
      </c>
      <c r="C36" s="11"/>
      <c r="D36" s="11"/>
      <c r="E36" s="11" t="s">
        <v>169</v>
      </c>
      <c r="F36" s="11"/>
      <c r="G36" s="11">
        <v>65</v>
      </c>
      <c r="H36" s="11">
        <v>24</v>
      </c>
    </row>
    <row r="37" spans="1:8" ht="26.25" x14ac:dyDescent="0.25">
      <c r="A37" s="11" t="s">
        <v>117</v>
      </c>
      <c r="B37" s="11" t="s">
        <v>118</v>
      </c>
      <c r="C37" s="11"/>
      <c r="D37" s="11"/>
      <c r="E37" s="11" t="s">
        <v>169</v>
      </c>
      <c r="F37" s="11"/>
      <c r="G37" s="11"/>
      <c r="H37" s="11"/>
    </row>
    <row r="38" spans="1:8" ht="39" x14ac:dyDescent="0.25">
      <c r="A38" s="11" t="s">
        <v>120</v>
      </c>
      <c r="B38" s="11" t="s">
        <v>121</v>
      </c>
      <c r="C38" s="11"/>
      <c r="D38" s="11" t="s">
        <v>181</v>
      </c>
      <c r="E38" s="11" t="s">
        <v>169</v>
      </c>
      <c r="F38" s="11"/>
      <c r="G38" s="11">
        <v>53.6</v>
      </c>
      <c r="H38" s="11">
        <v>170</v>
      </c>
    </row>
    <row r="39" spans="1:8" ht="51.75" x14ac:dyDescent="0.25">
      <c r="A39" s="11" t="s">
        <v>70</v>
      </c>
      <c r="B39" s="11" t="s">
        <v>123</v>
      </c>
      <c r="D39" s="11" t="s">
        <v>182</v>
      </c>
      <c r="E39" s="11"/>
      <c r="F39" s="11"/>
      <c r="G39" s="11">
        <v>84.5</v>
      </c>
      <c r="H39" s="11">
        <v>190</v>
      </c>
    </row>
    <row r="40" spans="1:8" ht="26.25" x14ac:dyDescent="0.25">
      <c r="A40" s="11" t="s">
        <v>125</v>
      </c>
      <c r="B40" s="11" t="s">
        <v>126</v>
      </c>
      <c r="C40" s="11"/>
      <c r="D40" s="11" t="s">
        <v>127</v>
      </c>
      <c r="E40" s="11"/>
      <c r="F40" s="11"/>
      <c r="G40" s="11">
        <v>46</v>
      </c>
      <c r="H40" s="11">
        <v>2.4</v>
      </c>
    </row>
    <row r="41" spans="1:8" ht="51.75" x14ac:dyDescent="0.25">
      <c r="A41" s="11" t="s">
        <v>111</v>
      </c>
      <c r="B41" s="11" t="s">
        <v>129</v>
      </c>
      <c r="C41" s="11"/>
      <c r="D41" s="11"/>
      <c r="E41" s="11" t="s">
        <v>169</v>
      </c>
      <c r="F41" s="11"/>
      <c r="G41" s="11">
        <v>31</v>
      </c>
      <c r="H41" s="11">
        <v>135</v>
      </c>
    </row>
    <row r="42" spans="1:8" ht="60" x14ac:dyDescent="0.25">
      <c r="A42" s="11" t="s">
        <v>111</v>
      </c>
      <c r="B42" s="14" t="s">
        <v>131</v>
      </c>
      <c r="C42" s="14"/>
      <c r="D42" s="14"/>
      <c r="E42" s="14" t="s">
        <v>169</v>
      </c>
      <c r="F42" s="14"/>
      <c r="G42" s="14">
        <v>30</v>
      </c>
      <c r="H42" s="14">
        <v>240</v>
      </c>
    </row>
    <row r="43" spans="1:8" ht="60" x14ac:dyDescent="0.25">
      <c r="A43" s="11" t="s">
        <v>111</v>
      </c>
      <c r="B43" s="14" t="s">
        <v>133</v>
      </c>
      <c r="C43" s="14"/>
      <c r="D43" s="14"/>
      <c r="E43" s="14" t="s">
        <v>169</v>
      </c>
      <c r="F43" s="14"/>
      <c r="G43" s="14">
        <v>44</v>
      </c>
      <c r="H43" s="14">
        <v>220</v>
      </c>
    </row>
    <row r="44" spans="1:8" ht="60" x14ac:dyDescent="0.25">
      <c r="A44" s="11" t="s">
        <v>111</v>
      </c>
      <c r="B44" s="14" t="s">
        <v>133</v>
      </c>
      <c r="C44" s="14"/>
      <c r="D44" s="14"/>
      <c r="E44" s="14" t="s">
        <v>169</v>
      </c>
      <c r="F44" s="14"/>
      <c r="G44" s="14">
        <v>38</v>
      </c>
      <c r="H44" s="14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E2A2-5C39-4F25-9FC5-A5083DC7F772}">
  <sheetPr codeName="Sheet4"/>
  <dimension ref="A1:H15"/>
  <sheetViews>
    <sheetView zoomScaleNormal="100" workbookViewId="0">
      <selection activeCell="D6" sqref="D6"/>
    </sheetView>
  </sheetViews>
  <sheetFormatPr defaultColWidth="8.85546875" defaultRowHeight="15" x14ac:dyDescent="0.25"/>
  <cols>
    <col min="1" max="8" width="12.7109375" customWidth="1"/>
  </cols>
  <sheetData>
    <row r="1" spans="1:8" ht="51.75" x14ac:dyDescent="0.25">
      <c r="A1" s="10" t="s">
        <v>0</v>
      </c>
      <c r="B1" s="10" t="s">
        <v>8</v>
      </c>
      <c r="C1" s="15" t="s">
        <v>186</v>
      </c>
      <c r="D1" s="15" t="s">
        <v>183</v>
      </c>
      <c r="E1" s="10" t="s">
        <v>184</v>
      </c>
      <c r="F1" s="10" t="s">
        <v>185</v>
      </c>
      <c r="G1" s="10" t="s">
        <v>11</v>
      </c>
      <c r="H1" s="10" t="s">
        <v>12</v>
      </c>
    </row>
    <row r="2" spans="1:8" x14ac:dyDescent="0.25">
      <c r="A2" s="10" t="s">
        <v>161</v>
      </c>
      <c r="B2" s="10" t="s">
        <v>161</v>
      </c>
      <c r="C2" s="15" t="s">
        <v>162</v>
      </c>
      <c r="D2" s="15" t="s">
        <v>162</v>
      </c>
      <c r="E2" s="10" t="s">
        <v>162</v>
      </c>
      <c r="F2" s="10" t="s">
        <v>162</v>
      </c>
      <c r="G2" s="10" t="s">
        <v>161</v>
      </c>
      <c r="H2" s="10" t="s">
        <v>162</v>
      </c>
    </row>
    <row r="3" spans="1:8" ht="26.25" x14ac:dyDescent="0.25">
      <c r="A3" s="11" t="s">
        <v>16</v>
      </c>
      <c r="B3" s="11" t="s">
        <v>17</v>
      </c>
      <c r="C3" s="11">
        <v>271</v>
      </c>
      <c r="D3" s="11">
        <v>153.5</v>
      </c>
      <c r="E3" s="11">
        <v>14.5</v>
      </c>
      <c r="F3" s="11">
        <v>15</v>
      </c>
      <c r="G3" s="11" t="s">
        <v>18</v>
      </c>
      <c r="H3" s="18">
        <v>9</v>
      </c>
    </row>
    <row r="4" spans="1:8" ht="43.5" x14ac:dyDescent="0.25">
      <c r="A4" s="11" t="s">
        <v>22</v>
      </c>
      <c r="B4" s="11" t="s">
        <v>23</v>
      </c>
      <c r="C4" s="8">
        <v>262.2</v>
      </c>
      <c r="D4" s="8">
        <v>172</v>
      </c>
      <c r="E4" s="8">
        <v>6</v>
      </c>
      <c r="F4" s="8">
        <v>4</v>
      </c>
      <c r="G4" s="8" t="s">
        <v>24</v>
      </c>
      <c r="H4" s="18">
        <v>9</v>
      </c>
    </row>
    <row r="5" spans="1:8" ht="43.5" x14ac:dyDescent="0.25">
      <c r="A5" s="11" t="s">
        <v>22</v>
      </c>
      <c r="B5" s="13" t="s">
        <v>29</v>
      </c>
      <c r="C5" s="8">
        <v>239.8</v>
      </c>
      <c r="D5" s="8">
        <v>168.8</v>
      </c>
      <c r="E5" s="8">
        <v>6</v>
      </c>
      <c r="F5" s="8">
        <v>4</v>
      </c>
      <c r="G5" s="8" t="s">
        <v>24</v>
      </c>
      <c r="H5" s="18">
        <v>9</v>
      </c>
    </row>
    <row r="6" spans="1:8" ht="43.5" x14ac:dyDescent="0.25">
      <c r="A6" s="11" t="s">
        <v>22</v>
      </c>
      <c r="B6" s="8" t="s">
        <v>33</v>
      </c>
      <c r="C6" s="8">
        <v>227.36</v>
      </c>
      <c r="D6" s="8">
        <v>177.3</v>
      </c>
      <c r="E6" s="8">
        <v>3</v>
      </c>
      <c r="F6" s="8">
        <v>4</v>
      </c>
      <c r="G6" s="8" t="s">
        <v>24</v>
      </c>
      <c r="H6" s="18">
        <v>9</v>
      </c>
    </row>
    <row r="7" spans="1:8" ht="26.25" x14ac:dyDescent="0.25">
      <c r="A7" s="11" t="s">
        <v>14</v>
      </c>
      <c r="B7" s="11" t="s">
        <v>36</v>
      </c>
      <c r="C7" s="11">
        <v>169.5</v>
      </c>
      <c r="D7" s="11">
        <v>119</v>
      </c>
      <c r="E7" s="11">
        <v>4.84</v>
      </c>
      <c r="F7" s="11">
        <v>2.6</v>
      </c>
      <c r="G7" s="11" t="s">
        <v>37</v>
      </c>
      <c r="H7" s="18">
        <v>9</v>
      </c>
    </row>
    <row r="8" spans="1:8" ht="26.25" x14ac:dyDescent="0.25">
      <c r="A8" s="11" t="s">
        <v>39</v>
      </c>
      <c r="B8" s="11" t="s">
        <v>40</v>
      </c>
      <c r="C8" s="11">
        <v>151.1</v>
      </c>
      <c r="D8" s="11">
        <v>109.8</v>
      </c>
      <c r="E8" s="11">
        <v>9.82</v>
      </c>
      <c r="F8" s="11">
        <v>20</v>
      </c>
      <c r="G8" s="11"/>
      <c r="H8" s="18">
        <v>9</v>
      </c>
    </row>
    <row r="9" spans="1:8" x14ac:dyDescent="0.25">
      <c r="A9" s="11" t="s">
        <v>42</v>
      </c>
      <c r="B9" s="11" t="s">
        <v>43</v>
      </c>
      <c r="C9" s="11">
        <v>109.2</v>
      </c>
      <c r="D9" s="11">
        <v>91</v>
      </c>
      <c r="E9" s="11">
        <v>4.5</v>
      </c>
      <c r="F9" s="11">
        <f>AVERAGE(4.5,9)</f>
        <v>6.75</v>
      </c>
      <c r="G9" s="11" t="s">
        <v>44</v>
      </c>
      <c r="H9" s="18">
        <v>9</v>
      </c>
    </row>
    <row r="10" spans="1:8" ht="39" x14ac:dyDescent="0.25">
      <c r="A10" s="11" t="s">
        <v>48</v>
      </c>
      <c r="B10" s="11" t="s">
        <v>49</v>
      </c>
      <c r="C10" s="11">
        <v>101.96</v>
      </c>
      <c r="D10" s="11">
        <v>74.599999999999994</v>
      </c>
      <c r="E10" s="11">
        <v>12</v>
      </c>
      <c r="F10" s="11">
        <f>AVERAGE(10,20)</f>
        <v>15</v>
      </c>
      <c r="G10" s="11" t="s">
        <v>50</v>
      </c>
      <c r="H10" s="18">
        <v>9</v>
      </c>
    </row>
    <row r="11" spans="1:8" ht="64.5" x14ac:dyDescent="0.25">
      <c r="A11" s="11" t="s">
        <v>53</v>
      </c>
      <c r="B11" s="11" t="s">
        <v>54</v>
      </c>
      <c r="C11" s="11">
        <v>69.73</v>
      </c>
      <c r="D11" s="11">
        <v>57.75</v>
      </c>
      <c r="E11" s="11">
        <v>7.5</v>
      </c>
      <c r="F11" s="11">
        <v>3</v>
      </c>
      <c r="G11" s="11" t="s">
        <v>55</v>
      </c>
      <c r="H11" s="18">
        <v>9</v>
      </c>
    </row>
    <row r="12" spans="1:8" ht="26.25" x14ac:dyDescent="0.25">
      <c r="A12" s="11" t="s">
        <v>57</v>
      </c>
      <c r="B12" s="11" t="s">
        <v>58</v>
      </c>
      <c r="C12" s="11">
        <v>184.5</v>
      </c>
      <c r="D12" s="11">
        <v>155.1</v>
      </c>
      <c r="E12" s="11">
        <v>6.01</v>
      </c>
      <c r="F12" s="11">
        <v>8</v>
      </c>
      <c r="G12" s="11" t="s">
        <v>59</v>
      </c>
      <c r="H12" s="18">
        <v>9</v>
      </c>
    </row>
    <row r="13" spans="1:8" x14ac:dyDescent="0.25">
      <c r="A13" s="11" t="s">
        <v>61</v>
      </c>
      <c r="B13" s="11" t="s">
        <v>62</v>
      </c>
      <c r="C13" s="11">
        <v>228.5</v>
      </c>
      <c r="D13" s="11">
        <v>190.4</v>
      </c>
      <c r="E13" s="11">
        <v>3.4</v>
      </c>
      <c r="F13" s="11">
        <f>AVERAGE(4,10)</f>
        <v>7</v>
      </c>
      <c r="G13" s="11" t="s">
        <v>59</v>
      </c>
      <c r="H13" s="11">
        <v>5</v>
      </c>
    </row>
    <row r="14" spans="1:8" ht="45" x14ac:dyDescent="0.25">
      <c r="A14" s="14" t="s">
        <v>65</v>
      </c>
      <c r="B14" s="14" t="s">
        <v>66</v>
      </c>
      <c r="C14" s="14">
        <v>103</v>
      </c>
      <c r="D14" s="14">
        <v>89</v>
      </c>
      <c r="E14" s="14">
        <v>18</v>
      </c>
      <c r="F14" s="14">
        <v>54</v>
      </c>
      <c r="G14" s="14" t="s">
        <v>67</v>
      </c>
      <c r="H14" s="14">
        <v>9</v>
      </c>
    </row>
    <row r="15" spans="1:8" ht="36.75" x14ac:dyDescent="0.25">
      <c r="A15" s="16" t="s">
        <v>70</v>
      </c>
      <c r="B15" s="17" t="s">
        <v>71</v>
      </c>
      <c r="C15" s="17">
        <v>144</v>
      </c>
      <c r="D15" s="17">
        <v>75</v>
      </c>
      <c r="E15" s="17">
        <v>12</v>
      </c>
      <c r="F15" s="17">
        <v>96</v>
      </c>
      <c r="G15" s="17" t="s">
        <v>72</v>
      </c>
      <c r="H15" s="17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826E-CB55-47BF-9EC5-B8CB1C1C0BC1}">
  <sheetPr codeName="Sheet5"/>
  <dimension ref="A1:D7"/>
  <sheetViews>
    <sheetView workbookViewId="0">
      <selection activeCell="H12" sqref="H12"/>
    </sheetView>
  </sheetViews>
  <sheetFormatPr defaultColWidth="8.85546875" defaultRowHeight="15" x14ac:dyDescent="0.25"/>
  <sheetData>
    <row r="1" spans="1:4" ht="75.75" thickBot="1" x14ac:dyDescent="0.3">
      <c r="A1" s="1" t="s">
        <v>74</v>
      </c>
      <c r="B1" s="2" t="s">
        <v>8</v>
      </c>
      <c r="C1" s="2" t="s">
        <v>183</v>
      </c>
      <c r="D1" s="2" t="s">
        <v>186</v>
      </c>
    </row>
    <row r="2" spans="1:4" x14ac:dyDescent="0.25">
      <c r="A2" s="1" t="s">
        <v>161</v>
      </c>
      <c r="B2" s="2" t="s">
        <v>161</v>
      </c>
      <c r="C2" s="2" t="s">
        <v>162</v>
      </c>
      <c r="D2" s="2" t="s">
        <v>162</v>
      </c>
    </row>
    <row r="3" spans="1:4" ht="29.25" x14ac:dyDescent="0.25">
      <c r="A3" s="4" t="s">
        <v>76</v>
      </c>
      <c r="B3" s="3" t="s">
        <v>77</v>
      </c>
      <c r="C3" s="3">
        <v>390</v>
      </c>
      <c r="D3" s="3">
        <v>930</v>
      </c>
    </row>
    <row r="4" spans="1:4" ht="29.25" x14ac:dyDescent="0.25">
      <c r="A4" s="4" t="s">
        <v>76</v>
      </c>
      <c r="B4" s="3" t="s">
        <v>80</v>
      </c>
      <c r="C4" s="3">
        <v>440</v>
      </c>
      <c r="D4" s="3">
        <v>930</v>
      </c>
    </row>
    <row r="5" spans="1:4" ht="57.75" x14ac:dyDescent="0.25">
      <c r="A5" s="4" t="s">
        <v>76</v>
      </c>
      <c r="B5" s="3" t="s">
        <v>83</v>
      </c>
      <c r="C5" s="3">
        <v>560</v>
      </c>
      <c r="D5" s="3">
        <v>785</v>
      </c>
    </row>
    <row r="6" spans="1:4" ht="29.25" x14ac:dyDescent="0.25">
      <c r="A6" s="4" t="s">
        <v>85</v>
      </c>
      <c r="B6" s="3" t="s">
        <v>187</v>
      </c>
      <c r="C6" s="3">
        <v>230</v>
      </c>
      <c r="D6" s="3">
        <v>600</v>
      </c>
    </row>
    <row r="7" spans="1:4" ht="29.25" x14ac:dyDescent="0.25">
      <c r="A7" s="4" t="s">
        <v>85</v>
      </c>
      <c r="B7" s="3" t="s">
        <v>188</v>
      </c>
      <c r="C7" s="3">
        <v>300</v>
      </c>
      <c r="D7" s="3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34E4-E8B9-44B4-AC1B-7F4868B14B92}">
  <sheetPr codeName="Sheet6"/>
  <dimension ref="A1:G8"/>
  <sheetViews>
    <sheetView tabSelected="1" workbookViewId="0">
      <selection activeCell="I24" sqref="I24"/>
    </sheetView>
  </sheetViews>
  <sheetFormatPr defaultColWidth="8.85546875" defaultRowHeight="15" x14ac:dyDescent="0.25"/>
  <cols>
    <col min="1" max="6" width="12.7109375" customWidth="1"/>
  </cols>
  <sheetData>
    <row r="1" spans="1:7" ht="75" x14ac:dyDescent="0.25">
      <c r="A1" s="28" t="s">
        <v>0</v>
      </c>
      <c r="B1" s="28" t="s">
        <v>189</v>
      </c>
      <c r="C1" s="28" t="s">
        <v>91</v>
      </c>
      <c r="D1" s="28" t="s">
        <v>190</v>
      </c>
      <c r="E1" s="28" t="s">
        <v>191</v>
      </c>
      <c r="F1" s="28" t="s">
        <v>183</v>
      </c>
      <c r="G1" s="28" t="s">
        <v>205</v>
      </c>
    </row>
    <row r="2" spans="1:7" x14ac:dyDescent="0.25">
      <c r="A2" s="28" t="s">
        <v>161</v>
      </c>
      <c r="B2" s="28" t="s">
        <v>161</v>
      </c>
      <c r="C2" s="28" t="s">
        <v>192</v>
      </c>
      <c r="D2" s="28" t="s">
        <v>162</v>
      </c>
      <c r="E2" s="28" t="s">
        <v>162</v>
      </c>
      <c r="F2" s="28" t="s">
        <v>162</v>
      </c>
      <c r="G2" s="28" t="s">
        <v>162</v>
      </c>
    </row>
    <row r="3" spans="1:7" x14ac:dyDescent="0.25">
      <c r="A3" s="30" t="s">
        <v>193</v>
      </c>
      <c r="B3" s="30" t="s">
        <v>59</v>
      </c>
      <c r="C3" s="30" t="s">
        <v>94</v>
      </c>
      <c r="D3" s="31">
        <v>-40</v>
      </c>
      <c r="E3" s="31">
        <v>60</v>
      </c>
      <c r="F3" s="32">
        <v>193.5</v>
      </c>
      <c r="G3" s="29"/>
    </row>
    <row r="4" spans="1:7" x14ac:dyDescent="0.25">
      <c r="A4" s="32" t="s">
        <v>194</v>
      </c>
      <c r="B4" s="32" t="s">
        <v>195</v>
      </c>
      <c r="C4" s="30" t="s">
        <v>94</v>
      </c>
      <c r="D4" s="31">
        <v>-80</v>
      </c>
      <c r="E4" s="31">
        <v>125</v>
      </c>
      <c r="F4" s="29"/>
      <c r="G4" s="30">
        <v>1420</v>
      </c>
    </row>
    <row r="5" spans="1:7" x14ac:dyDescent="0.25">
      <c r="A5" s="32" t="s">
        <v>194</v>
      </c>
      <c r="B5" s="32" t="s">
        <v>195</v>
      </c>
      <c r="C5" s="30" t="s">
        <v>94</v>
      </c>
      <c r="D5" s="31">
        <v>-40</v>
      </c>
      <c r="E5" s="31">
        <v>80</v>
      </c>
      <c r="F5" s="29"/>
      <c r="G5" s="30">
        <v>1420</v>
      </c>
    </row>
    <row r="6" spans="1:7" ht="29.25" x14ac:dyDescent="0.25">
      <c r="A6" s="30" t="s">
        <v>196</v>
      </c>
      <c r="B6" s="30" t="s">
        <v>197</v>
      </c>
      <c r="C6" s="30" t="s">
        <v>198</v>
      </c>
      <c r="D6" s="31">
        <v>-40</v>
      </c>
      <c r="E6" s="31">
        <v>60</v>
      </c>
      <c r="F6" s="30"/>
      <c r="G6" s="29"/>
    </row>
    <row r="7" spans="1:7" ht="29.25" x14ac:dyDescent="0.25">
      <c r="A7" s="30" t="s">
        <v>196</v>
      </c>
      <c r="B7" s="30" t="s">
        <v>197</v>
      </c>
      <c r="C7" s="30" t="s">
        <v>198</v>
      </c>
      <c r="D7" s="31">
        <v>-55</v>
      </c>
      <c r="E7" s="31">
        <v>50</v>
      </c>
      <c r="F7" s="30"/>
      <c r="G7" s="29"/>
    </row>
    <row r="8" spans="1:7" ht="29.25" x14ac:dyDescent="0.25">
      <c r="A8" s="32" t="s">
        <v>196</v>
      </c>
      <c r="B8" s="32" t="s">
        <v>59</v>
      </c>
      <c r="C8" s="30" t="s">
        <v>198</v>
      </c>
      <c r="D8" s="31">
        <v>-40</v>
      </c>
      <c r="E8" s="31">
        <v>50</v>
      </c>
      <c r="F8" s="30"/>
      <c r="G8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C9AD-7953-420F-AECF-A4760BB55CE0}">
  <sheetPr codeName="Sheet7"/>
  <dimension ref="A1:L36"/>
  <sheetViews>
    <sheetView zoomScale="112" zoomScaleNormal="112" workbookViewId="0">
      <selection activeCell="Q20" sqref="Q20"/>
    </sheetView>
  </sheetViews>
  <sheetFormatPr defaultColWidth="8.85546875" defaultRowHeight="15" x14ac:dyDescent="0.25"/>
  <cols>
    <col min="3" max="3" width="11.5703125" bestFit="1" customWidth="1"/>
  </cols>
  <sheetData>
    <row r="1" spans="1:12" ht="51.75" x14ac:dyDescent="0.25">
      <c r="A1" s="10" t="s">
        <v>0</v>
      </c>
      <c r="B1" s="10" t="s">
        <v>8</v>
      </c>
      <c r="C1" s="10" t="s">
        <v>104</v>
      </c>
      <c r="D1" s="15" t="s">
        <v>105</v>
      </c>
      <c r="E1" s="10" t="s">
        <v>106</v>
      </c>
      <c r="F1" s="10" t="s">
        <v>107</v>
      </c>
      <c r="G1" s="10" t="s">
        <v>108</v>
      </c>
      <c r="H1" s="10" t="s">
        <v>109</v>
      </c>
      <c r="I1" s="10" t="s">
        <v>12</v>
      </c>
    </row>
    <row r="2" spans="1:12" x14ac:dyDescent="0.25">
      <c r="A2" s="10" t="s">
        <v>161</v>
      </c>
      <c r="B2" s="10" t="s">
        <v>161</v>
      </c>
      <c r="C2" s="10" t="s">
        <v>162</v>
      </c>
      <c r="D2" s="15" t="s">
        <v>162</v>
      </c>
      <c r="E2" s="10" t="s">
        <v>162</v>
      </c>
      <c r="F2" s="10" t="s">
        <v>162</v>
      </c>
      <c r="G2" s="10" t="s">
        <v>192</v>
      </c>
      <c r="H2" s="10" t="s">
        <v>162</v>
      </c>
      <c r="I2" s="10" t="s">
        <v>162</v>
      </c>
    </row>
    <row r="3" spans="1:12" ht="39" x14ac:dyDescent="0.25">
      <c r="A3" s="11" t="s">
        <v>111</v>
      </c>
      <c r="B3" s="11" t="s">
        <v>112</v>
      </c>
      <c r="C3" s="11">
        <v>0.3</v>
      </c>
      <c r="D3" s="11">
        <v>180</v>
      </c>
      <c r="E3" s="19">
        <v>300</v>
      </c>
      <c r="F3" s="19"/>
      <c r="G3" s="11" t="s">
        <v>160</v>
      </c>
      <c r="H3" s="11">
        <v>99</v>
      </c>
      <c r="I3" s="11">
        <v>9</v>
      </c>
      <c r="L3" s="27"/>
    </row>
    <row r="4" spans="1:12" ht="39" x14ac:dyDescent="0.25">
      <c r="A4" s="11" t="s">
        <v>111</v>
      </c>
      <c r="B4" s="14" t="s">
        <v>114</v>
      </c>
      <c r="C4" s="14">
        <v>1.3</v>
      </c>
      <c r="D4" s="14">
        <v>360</v>
      </c>
      <c r="E4" s="21">
        <v>1200</v>
      </c>
      <c r="F4" s="21"/>
      <c r="G4" s="11" t="s">
        <v>160</v>
      </c>
      <c r="H4" s="14">
        <v>99</v>
      </c>
      <c r="I4" s="11">
        <v>9</v>
      </c>
      <c r="L4" s="26"/>
    </row>
    <row r="5" spans="1:12" ht="39" x14ac:dyDescent="0.25">
      <c r="A5" s="11" t="s">
        <v>14</v>
      </c>
      <c r="B5" s="11" t="s">
        <v>116</v>
      </c>
      <c r="C5" s="11">
        <v>2.4500000000000002</v>
      </c>
      <c r="D5" s="11">
        <v>3968</v>
      </c>
      <c r="E5" s="19">
        <v>120</v>
      </c>
      <c r="F5" s="11">
        <v>28</v>
      </c>
      <c r="G5" s="11" t="s">
        <v>199</v>
      </c>
      <c r="H5" s="11">
        <v>97</v>
      </c>
      <c r="I5" s="11">
        <v>9</v>
      </c>
      <c r="L5" s="26"/>
    </row>
    <row r="6" spans="1:12" ht="39" x14ac:dyDescent="0.25">
      <c r="A6" s="11" t="s">
        <v>14</v>
      </c>
      <c r="B6" s="11" t="s">
        <v>119</v>
      </c>
      <c r="C6" s="11">
        <v>5.9</v>
      </c>
      <c r="D6" s="11">
        <v>13133</v>
      </c>
      <c r="E6" s="19">
        <v>1200</v>
      </c>
      <c r="F6" s="19"/>
      <c r="G6" s="11" t="s">
        <v>209</v>
      </c>
      <c r="H6" s="11"/>
      <c r="I6" s="11">
        <v>9</v>
      </c>
      <c r="L6" s="26"/>
    </row>
    <row r="7" spans="1:12" ht="39" x14ac:dyDescent="0.25">
      <c r="A7" s="11" t="s">
        <v>14</v>
      </c>
      <c r="B7" s="11" t="s">
        <v>122</v>
      </c>
      <c r="C7" s="11">
        <v>8.5999999999999993E-2</v>
      </c>
      <c r="D7" s="11">
        <v>140</v>
      </c>
      <c r="E7" s="19"/>
      <c r="F7" s="19"/>
      <c r="G7" s="11" t="s">
        <v>200</v>
      </c>
      <c r="H7" s="11"/>
      <c r="I7" s="11">
        <v>9</v>
      </c>
    </row>
    <row r="8" spans="1:12" ht="26.25" x14ac:dyDescent="0.25">
      <c r="A8" s="11" t="s">
        <v>22</v>
      </c>
      <c r="B8" s="11" t="s">
        <v>124</v>
      </c>
      <c r="C8" s="11">
        <v>0.1</v>
      </c>
      <c r="D8" s="11">
        <v>127</v>
      </c>
      <c r="E8" s="19">
        <v>30</v>
      </c>
      <c r="F8" s="11">
        <v>8</v>
      </c>
      <c r="G8" s="11" t="s">
        <v>201</v>
      </c>
      <c r="H8" s="11">
        <v>96</v>
      </c>
      <c r="I8" s="11">
        <v>9</v>
      </c>
    </row>
    <row r="9" spans="1:12" ht="39" x14ac:dyDescent="0.25">
      <c r="A9" s="11" t="s">
        <v>22</v>
      </c>
      <c r="B9" s="11" t="s">
        <v>128</v>
      </c>
      <c r="C9" s="11"/>
      <c r="D9" s="8" t="s">
        <v>202</v>
      </c>
      <c r="E9" s="23">
        <v>100</v>
      </c>
      <c r="F9" s="24">
        <v>16</v>
      </c>
      <c r="G9" s="20" t="s">
        <v>203</v>
      </c>
      <c r="H9" s="22"/>
      <c r="I9" s="22"/>
    </row>
    <row r="10" spans="1:12" ht="39" x14ac:dyDescent="0.25">
      <c r="A10" s="11" t="s">
        <v>22</v>
      </c>
      <c r="B10" s="11" t="s">
        <v>128</v>
      </c>
      <c r="C10" s="11"/>
      <c r="D10" s="8" t="s">
        <v>202</v>
      </c>
      <c r="E10" s="23">
        <v>100</v>
      </c>
      <c r="F10" s="24">
        <v>32</v>
      </c>
      <c r="G10" s="20" t="s">
        <v>203</v>
      </c>
      <c r="H10" s="22"/>
      <c r="I10" s="22"/>
    </row>
    <row r="11" spans="1:12" ht="39" x14ac:dyDescent="0.25">
      <c r="A11" s="11" t="s">
        <v>22</v>
      </c>
      <c r="B11" s="11" t="s">
        <v>130</v>
      </c>
      <c r="C11" s="34">
        <f>AVERAGE(0.36, 0.61)</f>
        <v>0.48499999999999999</v>
      </c>
      <c r="D11" s="11">
        <v>468</v>
      </c>
      <c r="E11" s="23">
        <v>300</v>
      </c>
      <c r="F11" s="8">
        <v>25</v>
      </c>
      <c r="G11" s="20" t="s">
        <v>210</v>
      </c>
      <c r="H11" s="22"/>
      <c r="I11" s="22"/>
    </row>
    <row r="12" spans="1:12" ht="26.25" x14ac:dyDescent="0.25">
      <c r="A12" s="11" t="s">
        <v>96</v>
      </c>
      <c r="B12" s="11" t="s">
        <v>132</v>
      </c>
      <c r="C12" s="11">
        <v>0.36</v>
      </c>
      <c r="D12" s="11">
        <v>14.13</v>
      </c>
      <c r="E12" s="19">
        <v>13</v>
      </c>
      <c r="F12" s="11">
        <v>16</v>
      </c>
      <c r="G12" s="11" t="s">
        <v>212</v>
      </c>
      <c r="H12" s="11">
        <v>95</v>
      </c>
      <c r="I12" s="11">
        <v>9</v>
      </c>
    </row>
    <row r="13" spans="1:12" ht="26.25" x14ac:dyDescent="0.25">
      <c r="A13" s="11" t="s">
        <v>134</v>
      </c>
      <c r="B13" s="11" t="s">
        <v>135</v>
      </c>
      <c r="C13" s="11">
        <f>AVERAGE(0.285, 1.135)</f>
        <v>0.71</v>
      </c>
      <c r="D13" s="11">
        <v>718.5</v>
      </c>
      <c r="E13" s="35">
        <v>693</v>
      </c>
      <c r="F13" s="11">
        <v>40</v>
      </c>
      <c r="G13" s="11" t="s">
        <v>211</v>
      </c>
      <c r="H13" s="11">
        <v>93</v>
      </c>
      <c r="I13" s="11">
        <v>5</v>
      </c>
    </row>
    <row r="14" spans="1:12" ht="64.5" x14ac:dyDescent="0.25">
      <c r="A14" s="11" t="s">
        <v>134</v>
      </c>
      <c r="B14" s="11" t="s">
        <v>220</v>
      </c>
      <c r="C14" s="11">
        <f>AVERAGE(0.285, 1.135) +0.17</f>
        <v>0.88</v>
      </c>
      <c r="D14" s="11">
        <v>718.5</v>
      </c>
      <c r="E14" s="35">
        <v>693</v>
      </c>
      <c r="F14" s="11">
        <v>40</v>
      </c>
      <c r="G14" s="11" t="s">
        <v>211</v>
      </c>
      <c r="H14" s="11">
        <v>93</v>
      </c>
      <c r="I14" s="11">
        <v>5</v>
      </c>
    </row>
    <row r="15" spans="1:12" ht="26.25" x14ac:dyDescent="0.25">
      <c r="A15" s="11" t="s">
        <v>134</v>
      </c>
      <c r="B15" s="11" t="s">
        <v>136</v>
      </c>
      <c r="C15" s="33">
        <f>AVERAGE(0.155, 0.402)</f>
        <v>0.27850000000000003</v>
      </c>
      <c r="D15" s="11">
        <v>441.5</v>
      </c>
      <c r="E15" s="36">
        <v>124</v>
      </c>
      <c r="F15" s="11">
        <v>28</v>
      </c>
      <c r="G15" s="20" t="s">
        <v>211</v>
      </c>
      <c r="H15" s="11">
        <v>93</v>
      </c>
      <c r="I15" s="11">
        <v>9</v>
      </c>
    </row>
    <row r="16" spans="1:12" ht="51.75" x14ac:dyDescent="0.25">
      <c r="A16" s="11" t="s">
        <v>134</v>
      </c>
      <c r="B16" s="11" t="s">
        <v>222</v>
      </c>
      <c r="C16" s="33">
        <f>AVERAGE(0.155, 0.402)+0.109</f>
        <v>0.38750000000000001</v>
      </c>
      <c r="D16" s="11">
        <v>441.5</v>
      </c>
      <c r="E16" s="36">
        <v>124</v>
      </c>
      <c r="F16" s="11">
        <v>28</v>
      </c>
      <c r="G16" s="20" t="s">
        <v>211</v>
      </c>
      <c r="H16" s="11">
        <v>93</v>
      </c>
      <c r="I16" s="11">
        <v>9</v>
      </c>
    </row>
    <row r="17" spans="1:12" ht="26.25" x14ac:dyDescent="0.25">
      <c r="A17" s="11" t="s">
        <v>134</v>
      </c>
      <c r="B17" s="11" t="s">
        <v>137</v>
      </c>
      <c r="C17" s="11">
        <f>AVERAGE(0.11, 0.19)</f>
        <v>0.15</v>
      </c>
      <c r="D17" s="11">
        <v>168.5</v>
      </c>
      <c r="E17" s="36">
        <v>74</v>
      </c>
      <c r="F17" s="19"/>
      <c r="G17" s="20" t="s">
        <v>211</v>
      </c>
      <c r="H17" s="11">
        <v>93</v>
      </c>
      <c r="I17" s="11">
        <v>8</v>
      </c>
    </row>
    <row r="18" spans="1:12" ht="39" x14ac:dyDescent="0.25">
      <c r="A18" s="11" t="s">
        <v>134</v>
      </c>
      <c r="B18" s="11" t="s">
        <v>221</v>
      </c>
      <c r="C18" s="11">
        <f>AVERAGE(0.11, 0.19)+0.1</f>
        <v>0.25</v>
      </c>
      <c r="D18" s="11">
        <v>168.5</v>
      </c>
      <c r="E18" s="36">
        <v>74</v>
      </c>
      <c r="F18" s="19"/>
      <c r="G18" s="20" t="s">
        <v>211</v>
      </c>
      <c r="H18" s="11">
        <v>93</v>
      </c>
      <c r="I18" s="11">
        <v>8</v>
      </c>
    </row>
    <row r="19" spans="1:12" ht="26.25" x14ac:dyDescent="0.25">
      <c r="A19" s="11" t="s">
        <v>101</v>
      </c>
      <c r="B19" s="11" t="s">
        <v>138</v>
      </c>
      <c r="C19" s="11">
        <v>0.20799999999999999</v>
      </c>
      <c r="D19" s="11">
        <v>183</v>
      </c>
      <c r="E19" s="19"/>
      <c r="F19" s="11">
        <v>5.5</v>
      </c>
      <c r="G19" s="11" t="s">
        <v>212</v>
      </c>
      <c r="H19" s="11">
        <v>86</v>
      </c>
      <c r="I19" s="11">
        <v>9</v>
      </c>
    </row>
    <row r="20" spans="1:12" ht="26.25" x14ac:dyDescent="0.25">
      <c r="A20" s="11" t="s">
        <v>101</v>
      </c>
      <c r="B20" s="11" t="s">
        <v>139</v>
      </c>
      <c r="C20" s="11">
        <v>0.29199999999999998</v>
      </c>
      <c r="D20" s="11">
        <v>259</v>
      </c>
      <c r="E20" s="19">
        <v>30</v>
      </c>
      <c r="F20" s="11">
        <v>5.5</v>
      </c>
      <c r="G20" s="11" t="s">
        <v>212</v>
      </c>
      <c r="H20" s="11">
        <v>86</v>
      </c>
      <c r="I20" s="11">
        <v>9</v>
      </c>
    </row>
    <row r="21" spans="1:12" ht="26.25" x14ac:dyDescent="0.25">
      <c r="A21" s="11" t="s">
        <v>101</v>
      </c>
      <c r="B21" s="11" t="s">
        <v>140</v>
      </c>
      <c r="C21" s="11">
        <v>1.28</v>
      </c>
      <c r="D21" s="11">
        <v>742</v>
      </c>
      <c r="E21" s="19">
        <v>250</v>
      </c>
      <c r="F21" s="19"/>
      <c r="G21" s="11" t="s">
        <v>211</v>
      </c>
      <c r="H21" s="11">
        <v>89</v>
      </c>
      <c r="I21" s="11">
        <v>9</v>
      </c>
      <c r="L21" s="25"/>
    </row>
    <row r="22" spans="1:12" ht="39" x14ac:dyDescent="0.25">
      <c r="A22" s="11" t="s">
        <v>101</v>
      </c>
      <c r="B22" s="11" t="s">
        <v>141</v>
      </c>
      <c r="C22" s="11">
        <v>2</v>
      </c>
      <c r="D22" s="11">
        <v>2430</v>
      </c>
      <c r="E22" s="19">
        <v>1152</v>
      </c>
      <c r="F22" s="11">
        <v>45</v>
      </c>
      <c r="G22" s="11" t="s">
        <v>213</v>
      </c>
      <c r="H22" s="11">
        <v>87</v>
      </c>
      <c r="I22" s="11">
        <v>6</v>
      </c>
    </row>
    <row r="23" spans="1:12" ht="26.25" x14ac:dyDescent="0.25">
      <c r="A23" s="11" t="s">
        <v>142</v>
      </c>
      <c r="B23" s="11" t="s">
        <v>143</v>
      </c>
      <c r="C23" s="11">
        <v>1.5</v>
      </c>
      <c r="D23" s="11">
        <v>1800</v>
      </c>
      <c r="E23" s="19">
        <v>250</v>
      </c>
      <c r="F23" s="11">
        <v>24</v>
      </c>
      <c r="G23" s="11">
        <v>3.3</v>
      </c>
      <c r="H23" s="11">
        <v>85</v>
      </c>
      <c r="I23" s="11"/>
    </row>
    <row r="24" spans="1:12" ht="51.75" x14ac:dyDescent="0.25">
      <c r="A24" s="11" t="s">
        <v>53</v>
      </c>
      <c r="B24" s="11" t="s">
        <v>144</v>
      </c>
      <c r="C24" s="11">
        <v>0.96</v>
      </c>
      <c r="D24" s="11">
        <v>1191</v>
      </c>
      <c r="E24" s="19"/>
      <c r="F24" s="11">
        <v>25</v>
      </c>
      <c r="G24" s="11" t="s">
        <v>214</v>
      </c>
      <c r="H24" s="11"/>
      <c r="I24" s="11">
        <v>9</v>
      </c>
    </row>
    <row r="25" spans="1:12" ht="39" x14ac:dyDescent="0.25">
      <c r="A25" s="11" t="s">
        <v>39</v>
      </c>
      <c r="B25" s="11" t="s">
        <v>145</v>
      </c>
      <c r="C25" s="11">
        <v>0.14000000000000001</v>
      </c>
      <c r="D25" s="11">
        <v>124</v>
      </c>
      <c r="E25" s="19">
        <v>150</v>
      </c>
      <c r="F25" s="11">
        <v>42</v>
      </c>
      <c r="G25" s="11" t="s">
        <v>211</v>
      </c>
      <c r="H25" s="11">
        <v>95</v>
      </c>
      <c r="I25" s="11">
        <v>8</v>
      </c>
    </row>
    <row r="26" spans="1:12" ht="51.75" x14ac:dyDescent="0.25">
      <c r="A26" s="11" t="s">
        <v>39</v>
      </c>
      <c r="B26" s="11" t="s">
        <v>146</v>
      </c>
      <c r="C26" s="11">
        <v>0.14000000000000001</v>
      </c>
      <c r="D26" s="11">
        <v>124</v>
      </c>
      <c r="E26" s="19">
        <v>200</v>
      </c>
      <c r="F26" s="19"/>
      <c r="G26" s="11" t="s">
        <v>211</v>
      </c>
      <c r="H26" s="11">
        <v>96</v>
      </c>
      <c r="I26" s="11">
        <v>8</v>
      </c>
    </row>
    <row r="27" spans="1:12" ht="51.75" x14ac:dyDescent="0.25">
      <c r="A27" s="11" t="s">
        <v>39</v>
      </c>
      <c r="B27" s="11" t="s">
        <v>147</v>
      </c>
      <c r="C27" s="11">
        <v>0.5</v>
      </c>
      <c r="D27" s="11">
        <v>1150</v>
      </c>
      <c r="E27" s="20">
        <v>2000</v>
      </c>
      <c r="F27" s="19"/>
      <c r="G27" s="11" t="s">
        <v>215</v>
      </c>
      <c r="H27" s="11">
        <v>98</v>
      </c>
      <c r="I27" s="11">
        <v>6</v>
      </c>
    </row>
    <row r="28" spans="1:12" ht="26.25" x14ac:dyDescent="0.25">
      <c r="A28" s="11" t="s">
        <v>117</v>
      </c>
      <c r="B28" s="11" t="s">
        <v>148</v>
      </c>
      <c r="C28" s="11"/>
      <c r="D28" s="11"/>
      <c r="E28" s="19">
        <v>175</v>
      </c>
      <c r="F28" s="11">
        <v>18</v>
      </c>
      <c r="G28" s="11" t="s">
        <v>216</v>
      </c>
      <c r="H28" s="11">
        <v>96</v>
      </c>
      <c r="I28" s="11"/>
    </row>
    <row r="29" spans="1:12" ht="51.75" x14ac:dyDescent="0.25">
      <c r="A29" s="11" t="s">
        <v>57</v>
      </c>
      <c r="B29" s="11" t="s">
        <v>149</v>
      </c>
      <c r="C29" s="11">
        <v>9.8000000000000004E-2</v>
      </c>
      <c r="D29" s="11">
        <v>160</v>
      </c>
      <c r="E29" s="19">
        <v>100</v>
      </c>
      <c r="F29" s="11">
        <v>30</v>
      </c>
      <c r="G29" s="11" t="s">
        <v>217</v>
      </c>
      <c r="H29" s="11">
        <v>94</v>
      </c>
      <c r="I29" s="11">
        <v>6</v>
      </c>
    </row>
    <row r="30" spans="1:12" ht="26.25" x14ac:dyDescent="0.25">
      <c r="A30" s="11" t="s">
        <v>125</v>
      </c>
      <c r="B30" s="11" t="s">
        <v>150</v>
      </c>
      <c r="C30" s="11">
        <v>0.2</v>
      </c>
      <c r="D30" s="11">
        <v>173</v>
      </c>
      <c r="E30" s="19">
        <v>50</v>
      </c>
      <c r="F30" s="11">
        <v>8</v>
      </c>
      <c r="G30" s="11" t="s">
        <v>201</v>
      </c>
      <c r="H30" s="11">
        <v>80</v>
      </c>
      <c r="I30" s="13" t="s">
        <v>151</v>
      </c>
    </row>
    <row r="31" spans="1:12" ht="26.25" x14ac:dyDescent="0.25">
      <c r="A31" s="11" t="s">
        <v>152</v>
      </c>
      <c r="B31" s="11" t="s">
        <v>153</v>
      </c>
      <c r="C31" s="11">
        <v>0.97</v>
      </c>
      <c r="D31" s="11">
        <v>600</v>
      </c>
      <c r="E31" s="19">
        <v>100</v>
      </c>
      <c r="F31" s="11">
        <v>22</v>
      </c>
      <c r="G31" s="20" t="s">
        <v>206</v>
      </c>
      <c r="H31" s="11">
        <v>75</v>
      </c>
      <c r="I31" s="11">
        <v>9</v>
      </c>
    </row>
    <row r="32" spans="1:12" ht="90" x14ac:dyDescent="0.25">
      <c r="A32" s="11" t="s">
        <v>152</v>
      </c>
      <c r="B32" s="11" t="s">
        <v>154</v>
      </c>
      <c r="C32" s="11">
        <v>0.5</v>
      </c>
      <c r="D32" s="11">
        <v>500</v>
      </c>
      <c r="E32" s="11">
        <v>400</v>
      </c>
      <c r="F32" s="19"/>
      <c r="G32" s="20" t="s">
        <v>207</v>
      </c>
      <c r="H32" s="11">
        <v>80</v>
      </c>
      <c r="I32" s="11">
        <v>5</v>
      </c>
    </row>
    <row r="33" spans="1:9" ht="77.25" x14ac:dyDescent="0.25">
      <c r="A33" s="11" t="s">
        <v>155</v>
      </c>
      <c r="B33" s="11" t="s">
        <v>156</v>
      </c>
      <c r="C33" s="11">
        <v>0.86</v>
      </c>
      <c r="D33" s="11">
        <v>731</v>
      </c>
      <c r="E33" s="19">
        <v>90</v>
      </c>
      <c r="F33" s="11">
        <v>25</v>
      </c>
      <c r="G33" s="11" t="s">
        <v>218</v>
      </c>
      <c r="H33" s="11">
        <v>90</v>
      </c>
      <c r="I33" s="11">
        <v>9</v>
      </c>
    </row>
    <row r="34" spans="1:9" ht="77.25" x14ac:dyDescent="0.25">
      <c r="A34" s="11" t="s">
        <v>157</v>
      </c>
      <c r="B34" s="11" t="s">
        <v>208</v>
      </c>
      <c r="C34" s="11">
        <v>2.9</v>
      </c>
      <c r="D34" s="11">
        <v>3045</v>
      </c>
      <c r="E34" s="19">
        <v>1500</v>
      </c>
      <c r="F34" s="11">
        <v>34</v>
      </c>
      <c r="G34" s="20" t="s">
        <v>211</v>
      </c>
      <c r="H34" s="11">
        <v>95</v>
      </c>
      <c r="I34" s="11">
        <v>8</v>
      </c>
    </row>
    <row r="35" spans="1:9" ht="60" x14ac:dyDescent="0.25">
      <c r="A35" s="14" t="s">
        <v>65</v>
      </c>
      <c r="B35" s="14" t="s">
        <v>158</v>
      </c>
      <c r="C35" s="14">
        <v>0.2</v>
      </c>
      <c r="D35" s="14">
        <v>216.125</v>
      </c>
      <c r="E35" s="21" t="s">
        <v>204</v>
      </c>
      <c r="F35" s="21">
        <v>10</v>
      </c>
      <c r="G35" s="20" t="s">
        <v>219</v>
      </c>
      <c r="H35" s="14">
        <v>99</v>
      </c>
      <c r="I35" s="14">
        <v>9</v>
      </c>
    </row>
    <row r="36" spans="1:9" ht="64.5" x14ac:dyDescent="0.25">
      <c r="A36" s="11" t="s">
        <v>70</v>
      </c>
      <c r="B36" s="11" t="s">
        <v>159</v>
      </c>
      <c r="C36" s="11">
        <v>7</v>
      </c>
      <c r="D36" s="11">
        <v>6480</v>
      </c>
      <c r="E36" s="19">
        <v>1000</v>
      </c>
      <c r="F36" s="11">
        <v>50</v>
      </c>
      <c r="G36" s="20" t="s">
        <v>160</v>
      </c>
      <c r="H36" s="11">
        <v>97</v>
      </c>
      <c r="I36" s="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solar_cells</vt:lpstr>
      <vt:lpstr>solar_arrays</vt:lpstr>
      <vt:lpstr>battery_packs</vt:lpstr>
      <vt:lpstr>solid_state_batteries</vt:lpstr>
      <vt:lpstr>low_temperature_batteries</vt:lpstr>
      <vt:lpstr>management_and_distribution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Aiden Powell</cp:lastModifiedBy>
  <cp:revision/>
  <dcterms:created xsi:type="dcterms:W3CDTF">2025-06-16T19:16:12Z</dcterms:created>
  <dcterms:modified xsi:type="dcterms:W3CDTF">2025-08-13T19:12:29Z</dcterms:modified>
  <cp:category/>
  <cp:contentStatus/>
</cp:coreProperties>
</file>