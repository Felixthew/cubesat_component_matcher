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wel\PycharmProjects\cubesat_component_matcher\complete_backend_solution\tests\component_data_TEST\structures\"/>
    </mc:Choice>
  </mc:AlternateContent>
  <xr:revisionPtr revIDLastSave="0" documentId="13_ncr:1_{1108418F-0FC9-423C-B6E5-0C2BAB18CC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imary_cubesat_structures" sheetId="13" r:id="rId1"/>
    <sheet name="actuators" sheetId="15" r:id="rId2"/>
    <sheet name="deployable_booms" sheetId="16" r:id="rId3"/>
    <sheet name="robotic_arms" sheetId="17" r:id="rId4"/>
    <sheet name="polylactic_acid_filaments" sheetId="27" r:id="rId5"/>
    <sheet name="abs_filaments" sheetId="18" r:id="rId6"/>
    <sheet name="nylon_filaments" sheetId="19" r:id="rId7"/>
    <sheet name="polycarbonate_filaments" sheetId="20" r:id="rId8"/>
    <sheet name="crp_windform" sheetId="21" r:id="rId9"/>
    <sheet name="pei_filaments" sheetId="22" r:id="rId10"/>
    <sheet name="paek_filaments" sheetId="23" r:id="rId11"/>
    <sheet name="photopolymers" sheetId="24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1" l="1"/>
  <c r="I9" i="20"/>
  <c r="H9" i="20"/>
  <c r="C6" i="20"/>
  <c r="C9" i="19"/>
</calcChain>
</file>

<file path=xl/sharedStrings.xml><?xml version="1.0" encoding="utf-8"?>
<sst xmlns="http://schemas.openxmlformats.org/spreadsheetml/2006/main" count="721" uniqueCount="293">
  <si>
    <t>Structure (U)</t>
  </si>
  <si>
    <t>Product</t>
  </si>
  <si>
    <t>Mass (kg)</t>
  </si>
  <si>
    <t>Size (mm)</t>
  </si>
  <si>
    <t>Power Consumption</t>
  </si>
  <si>
    <t>Actuation method</t>
  </si>
  <si>
    <t>Manufacturer</t>
  </si>
  <si>
    <t>Extendable length (mm)</t>
  </si>
  <si>
    <t>Stowed Envelope (mm)</t>
  </si>
  <si>
    <t>DOF</t>
  </si>
  <si>
    <t>Power Consumption (W)</t>
  </si>
  <si>
    <t>Actuator method</t>
  </si>
  <si>
    <t>Form Factor</t>
  </si>
  <si>
    <t>ISO 75/ASTM D648 Deflection Temp (°C)</t>
  </si>
  <si>
    <t>ISO 527-1/ASTM D638 ZX Tensile strength (MPa)</t>
  </si>
  <si>
    <t>ASTM D790/ISO 178 Flexural strength (MPa)</t>
  </si>
  <si>
    <t>Nozzle Temp (°C)</t>
  </si>
  <si>
    <t>Bed Temp (°C)</t>
  </si>
  <si>
    <t>Density (g/cc)</t>
  </si>
  <si>
    <t>Filament Name</t>
  </si>
  <si>
    <t>ISO 527-1/ASTM D638 Tensile strength (MPa)</t>
  </si>
  <si>
    <t>ESD Risk</t>
  </si>
  <si>
    <t>Manufacturing process</t>
  </si>
  <si>
    <t>ISO 179-1/ASTM D256-10A (J/m)</t>
  </si>
  <si>
    <t>ISO 527-1/ASTM D638 Tensile (MPa)</t>
  </si>
  <si>
    <t>ASTM D790 Flexural (MPa)</t>
  </si>
  <si>
    <t>Separation Nut PSM 3/8B</t>
  </si>
  <si>
    <t>Composite Technology Development</t>
  </si>
  <si>
    <t>Stable Tubular Extendable Lock-Out Composite (STELOC)</t>
  </si>
  <si>
    <t>U.S. Naval Academy</t>
  </si>
  <si>
    <t>Stepper motor</t>
  </si>
  <si>
    <t>Solar Array Drive Mechanism - 400</t>
  </si>
  <si>
    <t>4 W</t>
  </si>
  <si>
    <t>Geared motor</t>
  </si>
  <si>
    <t>Oxford Space Systems</t>
  </si>
  <si>
    <t>AstroTube deployable boom</t>
  </si>
  <si>
    <t>50-60</t>
  </si>
  <si>
    <t>3D Systems ProX 800</t>
  </si>
  <si>
    <t>Solar Array Drive Mechanism - 1500</t>
  </si>
  <si>
    <t>13 W</t>
  </si>
  <si>
    <t>Redwire Space</t>
  </si>
  <si>
    <t>Roll Out Composite (ROC) booms</t>
  </si>
  <si>
    <t>ESPA class satellites</t>
  </si>
  <si>
    <t>SLS</t>
  </si>
  <si>
    <t>3DS MJP 2500 Plus</t>
  </si>
  <si>
    <t>Micro Pin Puller (uD3PP)</t>
  </si>
  <si>
    <t>SMA</t>
  </si>
  <si>
    <t>CubeSat ROC Boom Deployer</t>
  </si>
  <si>
    <t>Sierra Lobo</t>
  </si>
  <si>
    <t>Sierra Lobo Arm (SLAC1)</t>
  </si>
  <si>
    <t>Stratasys V650 Flex SL</t>
  </si>
  <si>
    <t>Nano Pin Puller (nD3PP)</t>
  </si>
  <si>
    <t>ROC-FALL system</t>
  </si>
  <si>
    <t>Several</t>
  </si>
  <si>
    <t>Micro Release Nut (uD3RN)</t>
  </si>
  <si>
    <t>Magellan Aerospace</t>
  </si>
  <si>
    <t>Deployable Boom</t>
  </si>
  <si>
    <t>23-60</t>
  </si>
  <si>
    <t>DLP SLA types only</t>
  </si>
  <si>
    <t>1U, 1.5U, 2U, 3U, 6U, 6UXL</t>
  </si>
  <si>
    <t>MicroSADA-10</t>
  </si>
  <si>
    <t>Rolatube Technology</t>
  </si>
  <si>
    <t>Deployable Composite Booms</t>
  </si>
  <si>
    <t>SLA types only</t>
  </si>
  <si>
    <t>Gumush Istanbul</t>
  </si>
  <si>
    <t>MicroSADA-18</t>
  </si>
  <si>
    <t>Northrup Grumman</t>
  </si>
  <si>
    <t>Coil Booms</t>
  </si>
  <si>
    <t>ISISPACE The Netherlands</t>
  </si>
  <si>
    <t>TiNi™ Flat Pack</t>
  </si>
  <si>
    <t>Telescoping Tube Masts</t>
  </si>
  <si>
    <t>TiNi™ FD04 Frangibolt</t>
  </si>
  <si>
    <t>15 W @ 9 VD</t>
  </si>
  <si>
    <t>TiNi™ ML50</t>
  </si>
  <si>
    <t>9 W @ 7 VD</t>
  </si>
  <si>
    <t>Supernova 1U, 3U, 6U, 12U</t>
  </si>
  <si>
    <t>TiNi™P5 Nano Pin Puller</t>
  </si>
  <si>
    <t>1.5A to 3.75A</t>
  </si>
  <si>
    <t>NPC Spacemind Italy</t>
  </si>
  <si>
    <t>TiNi™ P5 Pin Puller</t>
  </si>
  <si>
    <t>0.5A to 2A</t>
  </si>
  <si>
    <t>NEA 9040 Mini</t>
  </si>
  <si>
    <t>0.4A to 1.5A</t>
  </si>
  <si>
    <t>NEA 1120 Pin Puller</t>
  </si>
  <si>
    <t>Min 3A</t>
  </si>
  <si>
    <t>Split Spool</t>
  </si>
  <si>
    <t>Solar Array Drive Actuator (SADA)</t>
  </si>
  <si>
    <t>Stepper Motor</t>
  </si>
  <si>
    <t>Triggy</t>
  </si>
  <si>
    <t>0.004-0.271</t>
  </si>
  <si>
    <t>Gripper</t>
  </si>
  <si>
    <t>7.4 W (average)</t>
  </si>
  <si>
    <t>Type 2 Side-Drive Solar Array Drive Mechanism (SADM)</t>
  </si>
  <si>
    <t>15 W</t>
  </si>
  <si>
    <t>Solar array drive actuator (SARA)</t>
  </si>
  <si>
    <t>0.5 W (idle)</t>
  </si>
  <si>
    <t>High-Output Paraffin Actuator (HOPA)</t>
  </si>
  <si>
    <t>5 W</t>
  </si>
  <si>
    <t>Paraffin</t>
  </si>
  <si>
    <t>C14E-TC Solar Array Drive Assembly (SADA)</t>
  </si>
  <si>
    <t>C14C-TC Solar Array Drive Assembly (SADA)</t>
  </si>
  <si>
    <t>C14 Bi-Axis Gimbal</t>
  </si>
  <si>
    <t>C14E Bi-Axis Gimbal</t>
  </si>
  <si>
    <t>Country</t>
  </si>
  <si>
    <t>string</t>
  </si>
  <si>
    <t>AAC Clyde Space</t>
  </si>
  <si>
    <t>Sweden</t>
  </si>
  <si>
    <t>ZAPHOD 1U</t>
  </si>
  <si>
    <t>ZAPHOD 2U</t>
  </si>
  <si>
    <t>ZAPHOD 3U</t>
  </si>
  <si>
    <t>ZAPHOD 6U</t>
  </si>
  <si>
    <t>ZAPHOD 12U</t>
  </si>
  <si>
    <t>C3S Electronics Development</t>
  </si>
  <si>
    <t>Hungary</t>
  </si>
  <si>
    <t>3U/3U Plus</t>
  </si>
  <si>
    <t>6U</t>
  </si>
  <si>
    <t>12U</t>
  </si>
  <si>
    <t>16U</t>
  </si>
  <si>
    <t>Cervos Space</t>
  </si>
  <si>
    <t>Turkey</t>
  </si>
  <si>
    <t>1U</t>
  </si>
  <si>
    <t>2U</t>
  </si>
  <si>
    <t>3U</t>
  </si>
  <si>
    <t>EnduroSat</t>
  </si>
  <si>
    <t>Bulgaria</t>
  </si>
  <si>
    <t>1.5U</t>
  </si>
  <si>
    <t>6UXL</t>
  </si>
  <si>
    <t>8U</t>
  </si>
  <si>
    <t>12UXL</t>
  </si>
  <si>
    <t>German Orbital</t>
  </si>
  <si>
    <t>Germany</t>
  </si>
  <si>
    <t>GomSpace</t>
  </si>
  <si>
    <t>Denmark</t>
  </si>
  <si>
    <t>Gran Systems</t>
  </si>
  <si>
    <t>USA</t>
  </si>
  <si>
    <t>Istanbul</t>
  </si>
  <si>
    <t>n-ART 1U</t>
  </si>
  <si>
    <t>n-ART 2U</t>
  </si>
  <si>
    <t>n-ART 3U</t>
  </si>
  <si>
    <t>Netherlands</t>
  </si>
  <si>
    <t>2UXL</t>
  </si>
  <si>
    <t>Ishitoshi Machining</t>
  </si>
  <si>
    <t>Japan</t>
  </si>
  <si>
    <t>MBF-1U</t>
  </si>
  <si>
    <t>MBF-3U</t>
  </si>
  <si>
    <t>NanoAvionics</t>
  </si>
  <si>
    <t>Lithuania</t>
  </si>
  <si>
    <t>Pumpkin Space</t>
  </si>
  <si>
    <t>Italy</t>
  </si>
  <si>
    <t>SM 1U</t>
  </si>
  <si>
    <t>SM 1.5U</t>
  </si>
  <si>
    <t>SM 2U</t>
  </si>
  <si>
    <t>SM 3U</t>
  </si>
  <si>
    <t>SM 6U</t>
  </si>
  <si>
    <t>SM 6U XL</t>
  </si>
  <si>
    <t>SM 8U</t>
  </si>
  <si>
    <t>SM 12U</t>
  </si>
  <si>
    <t>SM 12U XL</t>
  </si>
  <si>
    <t>SM 16U</t>
  </si>
  <si>
    <t>Nara Space</t>
  </si>
  <si>
    <t>South Korea</t>
  </si>
  <si>
    <t>number</t>
  </si>
  <si>
    <t>Beyond Gravity</t>
  </si>
  <si>
    <t>Switzerland</t>
  </si>
  <si>
    <t>58.5, 36, 56</t>
  </si>
  <si>
    <t>Comat Space</t>
  </si>
  <si>
    <t>France</t>
  </si>
  <si>
    <t>83, 62, 46</t>
  </si>
  <si>
    <t>DCUBED</t>
  </si>
  <si>
    <t>25.5, 25.5, 25.5</t>
  </si>
  <si>
    <t>17, 17, 17</t>
  </si>
  <si>
    <t>25, 25, 25</t>
  </si>
  <si>
    <t>DHV Technology</t>
  </si>
  <si>
    <t>Spain</t>
  </si>
  <si>
    <t>226, 80, 18</t>
  </si>
  <si>
    <t>Ensign-Bickford Aerospace &amp; Defense Company</t>
  </si>
  <si>
    <t>13.72, 10.16</t>
  </si>
  <si>
    <t>11.45 diam, 12.7</t>
  </si>
  <si>
    <t>25.4 diam, 16.5</t>
  </si>
  <si>
    <t>28 diam, 26</t>
  </si>
  <si>
    <t>28 diam, 32</t>
  </si>
  <si>
    <t>21, 22</t>
  </si>
  <si>
    <t>Honeybee and MMA Design</t>
  </si>
  <si>
    <t>Nimesis Technology</t>
  </si>
  <si>
    <t>39, 35, 7.6</t>
  </si>
  <si>
    <t>Moog</t>
  </si>
  <si>
    <t>Revolv Space</t>
  </si>
  <si>
    <t>97, 97, 23</t>
  </si>
  <si>
    <t>Sierra Space</t>
  </si>
  <si>
    <t>44, 14, 14</t>
  </si>
  <si>
    <t>155, 72, 72</t>
  </si>
  <si>
    <t>ISO 179-1 Hardness (kJ/m2)</t>
  </si>
  <si>
    <t xml:space="preserve">ISO 179-1 Hardness (kJ/m2) </t>
  </si>
  <si>
    <t>Headquarters</t>
  </si>
  <si>
    <t>tuple</t>
  </si>
  <si>
    <t>30, 50, 65</t>
  </si>
  <si>
    <t>RECS 3U</t>
  </si>
  <si>
    <t>range</t>
  </si>
  <si>
    <t/>
  </si>
  <si>
    <t>300, 100, 100</t>
  </si>
  <si>
    <t>Bulk Resistivity (Ω-cm)</t>
  </si>
  <si>
    <t>boolean</t>
  </si>
  <si>
    <t>PLA</t>
  </si>
  <si>
    <t>ESD-PLA</t>
  </si>
  <si>
    <t>Prusament</t>
  </si>
  <si>
    <t>Verbatim</t>
  </si>
  <si>
    <t>ColorFabb</t>
  </si>
  <si>
    <t>PLA-PHA</t>
  </si>
  <si>
    <t>Stratasys</t>
  </si>
  <si>
    <t>3DXSTAT™</t>
  </si>
  <si>
    <t>ISO 179-1 Izod D256-10A (J/m)</t>
  </si>
  <si>
    <t>104-109</t>
  </si>
  <si>
    <t>106-109</t>
  </si>
  <si>
    <t>Kimya</t>
  </si>
  <si>
    <t>ABS-CF10</t>
  </si>
  <si>
    <t>ABS-ESD7</t>
  </si>
  <si>
    <t>ESD-ABS</t>
  </si>
  <si>
    <t>ABS</t>
  </si>
  <si>
    <t>ABS Carbon</t>
  </si>
  <si>
    <t>Taulman3D</t>
  </si>
  <si>
    <t>Markforged</t>
  </si>
  <si>
    <t>Novamid</t>
  </si>
  <si>
    <t>1030 PA-CF10</t>
  </si>
  <si>
    <t>Alloy 910</t>
  </si>
  <si>
    <t>Alloy 910 HDT</t>
  </si>
  <si>
    <t>Nylon 680 Food Grade</t>
  </si>
  <si>
    <t>Onyx ESD</t>
  </si>
  <si>
    <t>Nylon 12</t>
  </si>
  <si>
    <t>3DXTECH</t>
  </si>
  <si>
    <t>CARBONX™ HTN+CF</t>
  </si>
  <si>
    <t>ISO 179-1 Izod D256-10A Hardness (J/m)</t>
  </si>
  <si>
    <t>PC</t>
  </si>
  <si>
    <t>ESD-PC</t>
  </si>
  <si>
    <t>CF-PC</t>
  </si>
  <si>
    <t>PC-ABS</t>
  </si>
  <si>
    <t>Polymax</t>
  </si>
  <si>
    <t>3DXtech</t>
  </si>
  <si>
    <t>Polymaker</t>
  </si>
  <si>
    <t>Bulk Resistivity</t>
  </si>
  <si>
    <t>Bulk Resistivity (Ω-cm)</t>
  </si>
  <si>
    <t>XT 2.0</t>
  </si>
  <si>
    <t>SP</t>
  </si>
  <si>
    <t>Windform</t>
  </si>
  <si>
    <t>RS</t>
  </si>
  <si>
    <t>THERMAX™</t>
  </si>
  <si>
    <t>Ultem™ 9085</t>
  </si>
  <si>
    <t>22-27</t>
  </si>
  <si>
    <t xml:space="preserve">39-88 </t>
  </si>
  <si>
    <t>Zortax</t>
  </si>
  <si>
    <t>Sabic</t>
  </si>
  <si>
    <t>Ultem™ AM9085F</t>
  </si>
  <si>
    <t>33-104</t>
  </si>
  <si>
    <t>CarbonX</t>
  </si>
  <si>
    <t>CF-Ultem™ 9085</t>
  </si>
  <si>
    <t>CF-Ultem™ 1010</t>
  </si>
  <si>
    <t>Z-PEI 9085</t>
  </si>
  <si>
    <t>Ultem™ 1010 CG</t>
  </si>
  <si>
    <t>Ultem™ 1010 CF-ESD</t>
  </si>
  <si>
    <t>Izod D256-10A Hardness (J/m)</t>
  </si>
  <si>
    <t xml:space="preserve">3DXSTAT™ </t>
  </si>
  <si>
    <t>ESD-PEKK</t>
  </si>
  <si>
    <t xml:space="preserve">CarbonX™ </t>
  </si>
  <si>
    <t>CF PEKK-Aerospace</t>
  </si>
  <si>
    <t xml:space="preserve">Stratasys </t>
  </si>
  <si>
    <t xml:space="preserve">Zortrax </t>
  </si>
  <si>
    <t xml:space="preserve">Thermax </t>
  </si>
  <si>
    <t>PEKK</t>
  </si>
  <si>
    <t xml:space="preserve">Kimya </t>
  </si>
  <si>
    <t>CF-PEKK</t>
  </si>
  <si>
    <t xml:space="preserve">3DGence </t>
  </si>
  <si>
    <t>PEEK</t>
  </si>
  <si>
    <t xml:space="preserve">CarbonX </t>
  </si>
  <si>
    <t>PEEK-CF10</t>
  </si>
  <si>
    <t>PEEK-CF20</t>
  </si>
  <si>
    <t>ESD-PEEK</t>
  </si>
  <si>
    <t>Z-PEEK</t>
  </si>
  <si>
    <t>PEKK (annealed)</t>
  </si>
  <si>
    <t>Antero 840</t>
  </si>
  <si>
    <t>Photopolymer Name</t>
  </si>
  <si>
    <t>ISO 75/ASTM D648 HDT (°C)</t>
  </si>
  <si>
    <t>Density (g/cc) at 25°C</t>
  </si>
  <si>
    <t>Manufacturing and/or Machine Type</t>
  </si>
  <si>
    <t>Accura</t>
  </si>
  <si>
    <t>VisiJet</t>
  </si>
  <si>
    <t>DSM Somos®</t>
  </si>
  <si>
    <t>Watershed XC</t>
  </si>
  <si>
    <t>Henkel LOCTITE</t>
  </si>
  <si>
    <t>Somos</t>
  </si>
  <si>
    <t>Perform</t>
  </si>
  <si>
    <t>3D 3843</t>
  </si>
  <si>
    <t>IND402 A70 Flex</t>
  </si>
  <si>
    <t>M2S-HT250</t>
  </si>
  <si>
    <t>Bluestone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</si>
</sst>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1A1A1A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CCCCCC"/>
      </left>
      <right style="thick">
        <color rgb="FF000000"/>
      </right>
      <top style="thin">
        <color rgb="FFCCCCCC"/>
      </top>
      <bottom style="thick">
        <color rgb="FF000000"/>
      </bottom>
      <diagonal/>
    </border>
    <border>
      <left style="thin">
        <color rgb="FFCCCCCC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wrapText="1" readingOrder="1"/>
    </xf>
    <xf numFmtId="0" fontId="6" fillId="0" borderId="1" xfId="0" applyFont="1" applyBorder="1" applyAlignment="1">
      <alignment wrapText="1" readingOrder="1"/>
    </xf>
    <xf numFmtId="0" fontId="6" fillId="0" borderId="2" xfId="0" applyFont="1" applyBorder="1" applyAlignment="1">
      <alignment wrapText="1" readingOrder="1"/>
    </xf>
    <xf numFmtId="0" fontId="4" fillId="0" borderId="4" xfId="0" applyFont="1" applyBorder="1" applyAlignment="1">
      <alignment wrapText="1" readingOrder="1"/>
    </xf>
    <xf numFmtId="0" fontId="1" fillId="0" borderId="4" xfId="0" applyFont="1" applyBorder="1" applyAlignment="1">
      <alignment wrapText="1" readingOrder="1"/>
    </xf>
    <xf numFmtId="0" fontId="7" fillId="0" borderId="4" xfId="0" applyFont="1" applyBorder="1" applyAlignment="1">
      <alignment wrapText="1" readingOrder="1"/>
    </xf>
    <xf numFmtId="0" fontId="6" fillId="0" borderId="4" xfId="0" applyFont="1" applyBorder="1" applyAlignment="1">
      <alignment wrapText="1" readingOrder="1"/>
    </xf>
    <xf numFmtId="0" fontId="5" fillId="0" borderId="4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  <xf numFmtId="0" fontId="8" fillId="0" borderId="4" xfId="0" applyFont="1" applyBorder="1" applyAlignment="1">
      <alignment wrapText="1" readingOrder="1"/>
    </xf>
    <xf numFmtId="0" fontId="9" fillId="0" borderId="4" xfId="0" applyFont="1" applyBorder="1" applyAlignment="1">
      <alignment wrapText="1" readingOrder="1"/>
    </xf>
    <xf numFmtId="0" fontId="10" fillId="0" borderId="4" xfId="0" applyFont="1" applyBorder="1" applyAlignment="1">
      <alignment wrapText="1" readingOrder="1"/>
    </xf>
    <xf numFmtId="0" fontId="9" fillId="0" borderId="4" xfId="0" quotePrefix="1" applyFont="1" applyBorder="1" applyAlignment="1">
      <alignment wrapText="1" readingOrder="1"/>
    </xf>
    <xf numFmtId="3" fontId="10" fillId="0" borderId="4" xfId="0" applyNumberFormat="1" applyFont="1" applyBorder="1" applyAlignment="1">
      <alignment wrapText="1" readingOrder="1"/>
    </xf>
    <xf numFmtId="0" fontId="2" fillId="0" borderId="4" xfId="0" applyFont="1" applyBorder="1" applyAlignment="1">
      <alignment readingOrder="1"/>
    </xf>
    <xf numFmtId="4" fontId="9" fillId="0" borderId="4" xfId="0" applyNumberFormat="1" applyFont="1" applyBorder="1" applyAlignment="1">
      <alignment wrapText="1" readingOrder="1"/>
    </xf>
    <xf numFmtId="3" fontId="9" fillId="0" borderId="4" xfId="0" applyNumberFormat="1" applyFont="1" applyBorder="1" applyAlignment="1">
      <alignment wrapText="1" readingOrder="1"/>
    </xf>
    <xf numFmtId="0" fontId="6" fillId="0" borderId="5" xfId="0" applyFont="1" applyBorder="1" applyAlignment="1">
      <alignment wrapText="1" readingOrder="1"/>
    </xf>
    <xf numFmtId="0" fontId="6" fillId="0" borderId="5" xfId="0" applyFont="1" applyBorder="1" applyAlignment="1">
      <alignment horizontal="left" wrapText="1" readingOrder="1"/>
    </xf>
    <xf numFmtId="0" fontId="0" fillId="0" borderId="4" xfId="0" applyBorder="1"/>
    <xf numFmtId="0" fontId="7" fillId="0" borderId="2" xfId="0" applyFont="1" applyBorder="1" applyAlignment="1">
      <alignment wrapText="1" readingOrder="1"/>
    </xf>
    <xf numFmtId="0" fontId="6" fillId="0" borderId="3" xfId="0" applyFont="1" applyBorder="1" applyAlignment="1">
      <alignment wrapText="1" readingOrder="1"/>
    </xf>
    <xf numFmtId="0" fontId="9" fillId="0" borderId="4" xfId="0" quotePrefix="1" applyFont="1" applyBorder="1" applyAlignment="1">
      <alignment horizontal="left" wrapText="1" readingOrder="1"/>
    </xf>
    <xf numFmtId="0" fontId="9" fillId="0" borderId="4" xfId="0" applyFont="1" applyBorder="1" applyAlignment="1">
      <alignment horizontal="left" wrapText="1" readingOrder="1"/>
    </xf>
    <xf numFmtId="0" fontId="0" fillId="0" borderId="4" xfId="0" applyBorder="1" applyAlignment="1">
      <alignment horizontal="left"/>
    </xf>
    <xf numFmtId="0" fontId="3" fillId="0" borderId="4" xfId="0" applyFont="1" applyBorder="1" applyAlignment="1">
      <alignment horizontal="left" wrapText="1" readingOrder="1"/>
    </xf>
    <xf numFmtId="0" fontId="7" fillId="0" borderId="5" xfId="0" applyFont="1" applyBorder="1" applyAlignment="1">
      <alignment wrapText="1" readingOrder="1"/>
    </xf>
    <xf numFmtId="0" fontId="6" fillId="0" borderId="5" xfId="0" applyFont="1" applyBorder="1" applyAlignment="1">
      <alignment horizontal="center" wrapText="1" readingOrder="1"/>
    </xf>
    <xf numFmtId="0" fontId="0" fillId="0" borderId="5" xfId="0" applyBorder="1"/>
    <xf numFmtId="0" fontId="7" fillId="0" borderId="5" xfId="0" applyFont="1" applyBorder="1"/>
    <xf numFmtId="0" fontId="7" fillId="0" borderId="5" xfId="0" applyFont="1" applyBorder="1" applyAlignment="1">
      <alignment horizontal="left" wrapText="1" readingOrder="1"/>
    </xf>
    <xf numFmtId="0" fontId="0" fillId="0" borderId="5" xfId="0" applyBorder="1" applyAlignment="1">
      <alignment horizontal="left"/>
    </xf>
    <xf numFmtId="0" fontId="6" fillId="0" borderId="5" xfId="0" quotePrefix="1" applyFont="1" applyBorder="1" applyAlignment="1">
      <alignment wrapText="1" readingOrder="1"/>
    </xf>
    <xf numFmtId="0" fontId="6" fillId="0" borderId="6" xfId="0" applyFont="1" applyBorder="1" applyAlignment="1">
      <alignment horizontal="center" wrapText="1" readingOrder="1"/>
    </xf>
    <xf numFmtId="0" fontId="6" fillId="0" borderId="6" xfId="0" applyFont="1" applyBorder="1" applyAlignment="1">
      <alignment wrapText="1" readingOrder="1"/>
    </xf>
    <xf numFmtId="0" fontId="0" fillId="0" borderId="5" xfId="0" applyBorder="1" applyAlignment="1">
      <alignment wrapText="1"/>
    </xf>
    <xf numFmtId="0" fontId="9" fillId="0" borderId="5" xfId="0" applyFont="1" applyBorder="1" applyAlignment="1">
      <alignment wrapText="1" readingOrder="1"/>
    </xf>
    <xf numFmtId="0" fontId="9" fillId="0" borderId="5" xfId="0" quotePrefix="1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FA14-2151-405C-85BA-DF00E7A73A5A}">
  <sheetPr codeName="Sheet2"/>
  <dimension ref="A1:C65"/>
  <sheetViews>
    <sheetView tabSelected="1" workbookViewId="0">
      <selection activeCell="C3" sqref="C3"/>
    </sheetView>
  </sheetViews>
  <sheetFormatPr defaultColWidth="8.85546875" defaultRowHeight="15" x14ac:dyDescent="0.25"/>
  <cols>
    <col min="1" max="1" width="18.28515625" customWidth="1"/>
    <col min="2" max="2" width="31.85546875" customWidth="1"/>
    <col min="3" max="3" width="24.42578125" customWidth="1"/>
  </cols>
  <sheetData>
    <row r="1" spans="1:3" x14ac:dyDescent="0.25">
      <c r="A1" s="4" t="s">
        <v>6</v>
      </c>
      <c r="B1" s="4" t="s">
        <v>103</v>
      </c>
      <c r="C1" s="5" t="s">
        <v>0</v>
      </c>
    </row>
    <row r="2" spans="1:3" x14ac:dyDescent="0.25">
      <c r="A2" s="4" t="s">
        <v>104</v>
      </c>
      <c r="B2" s="4" t="s">
        <v>104</v>
      </c>
      <c r="C2" s="5" t="s">
        <v>104</v>
      </c>
    </row>
    <row r="3" spans="1:3" x14ac:dyDescent="0.25">
      <c r="A3" s="6" t="s">
        <v>105</v>
      </c>
      <c r="B3" s="6" t="s">
        <v>106</v>
      </c>
      <c r="C3" s="7" t="s">
        <v>107</v>
      </c>
    </row>
    <row r="4" spans="1:3" x14ac:dyDescent="0.25">
      <c r="A4" s="6" t="s">
        <v>105</v>
      </c>
      <c r="B4" s="6" t="s">
        <v>106</v>
      </c>
      <c r="C4" s="7" t="s">
        <v>108</v>
      </c>
    </row>
    <row r="5" spans="1:3" x14ac:dyDescent="0.25">
      <c r="A5" s="6" t="s">
        <v>105</v>
      </c>
      <c r="B5" s="6" t="s">
        <v>106</v>
      </c>
      <c r="C5" s="7" t="s">
        <v>109</v>
      </c>
    </row>
    <row r="6" spans="1:3" x14ac:dyDescent="0.25">
      <c r="A6" s="6" t="s">
        <v>105</v>
      </c>
      <c r="B6" s="6" t="s">
        <v>106</v>
      </c>
      <c r="C6" s="7" t="s">
        <v>110</v>
      </c>
    </row>
    <row r="7" spans="1:3" x14ac:dyDescent="0.25">
      <c r="A7" s="6" t="s">
        <v>105</v>
      </c>
      <c r="B7" s="6" t="s">
        <v>106</v>
      </c>
      <c r="C7" s="7" t="s">
        <v>111</v>
      </c>
    </row>
    <row r="8" spans="1:3" ht="29.25" x14ac:dyDescent="0.25">
      <c r="A8" s="6" t="s">
        <v>112</v>
      </c>
      <c r="B8" s="6" t="s">
        <v>113</v>
      </c>
      <c r="C8" s="7" t="s">
        <v>114</v>
      </c>
    </row>
    <row r="9" spans="1:3" ht="29.25" x14ac:dyDescent="0.25">
      <c r="A9" s="6" t="s">
        <v>112</v>
      </c>
      <c r="B9" s="6" t="s">
        <v>113</v>
      </c>
      <c r="C9" s="7" t="s">
        <v>115</v>
      </c>
    </row>
    <row r="10" spans="1:3" ht="29.25" x14ac:dyDescent="0.25">
      <c r="A10" s="6" t="s">
        <v>112</v>
      </c>
      <c r="B10" s="6" t="s">
        <v>113</v>
      </c>
      <c r="C10" s="7" t="s">
        <v>116</v>
      </c>
    </row>
    <row r="11" spans="1:3" ht="29.25" x14ac:dyDescent="0.25">
      <c r="A11" s="6" t="s">
        <v>112</v>
      </c>
      <c r="B11" s="6" t="s">
        <v>113</v>
      </c>
      <c r="C11" s="7" t="s">
        <v>117</v>
      </c>
    </row>
    <row r="12" spans="1:3" x14ac:dyDescent="0.25">
      <c r="A12" s="6" t="s">
        <v>118</v>
      </c>
      <c r="B12" s="6" t="s">
        <v>119</v>
      </c>
      <c r="C12" s="7" t="s">
        <v>120</v>
      </c>
    </row>
    <row r="13" spans="1:3" x14ac:dyDescent="0.25">
      <c r="A13" s="6" t="s">
        <v>118</v>
      </c>
      <c r="B13" s="6" t="s">
        <v>119</v>
      </c>
      <c r="C13" s="7" t="s">
        <v>121</v>
      </c>
    </row>
    <row r="14" spans="1:3" x14ac:dyDescent="0.25">
      <c r="A14" s="6" t="s">
        <v>118</v>
      </c>
      <c r="B14" s="6" t="s">
        <v>119</v>
      </c>
      <c r="C14" s="7" t="s">
        <v>122</v>
      </c>
    </row>
    <row r="15" spans="1:3" x14ac:dyDescent="0.25">
      <c r="A15" s="6" t="s">
        <v>118</v>
      </c>
      <c r="B15" s="6" t="s">
        <v>119</v>
      </c>
      <c r="C15" s="7" t="s">
        <v>115</v>
      </c>
    </row>
    <row r="16" spans="1:3" x14ac:dyDescent="0.25">
      <c r="A16" s="6" t="s">
        <v>123</v>
      </c>
      <c r="B16" s="6" t="s">
        <v>124</v>
      </c>
      <c r="C16" s="7" t="s">
        <v>120</v>
      </c>
    </row>
    <row r="17" spans="1:3" x14ac:dyDescent="0.25">
      <c r="A17" s="6" t="s">
        <v>123</v>
      </c>
      <c r="B17" s="6" t="s">
        <v>124</v>
      </c>
      <c r="C17" s="7" t="s">
        <v>125</v>
      </c>
    </row>
    <row r="18" spans="1:3" x14ac:dyDescent="0.25">
      <c r="A18" s="6" t="s">
        <v>123</v>
      </c>
      <c r="B18" s="6" t="s">
        <v>124</v>
      </c>
      <c r="C18" s="7" t="s">
        <v>122</v>
      </c>
    </row>
    <row r="19" spans="1:3" x14ac:dyDescent="0.25">
      <c r="A19" s="6" t="s">
        <v>123</v>
      </c>
      <c r="B19" s="6" t="s">
        <v>124</v>
      </c>
      <c r="C19" s="7" t="s">
        <v>126</v>
      </c>
    </row>
    <row r="20" spans="1:3" x14ac:dyDescent="0.25">
      <c r="A20" s="6" t="s">
        <v>123</v>
      </c>
      <c r="B20" s="6" t="s">
        <v>124</v>
      </c>
      <c r="C20" s="7" t="s">
        <v>127</v>
      </c>
    </row>
    <row r="21" spans="1:3" x14ac:dyDescent="0.25">
      <c r="A21" s="6" t="s">
        <v>123</v>
      </c>
      <c r="B21" s="6" t="s">
        <v>124</v>
      </c>
      <c r="C21" s="7" t="s">
        <v>128</v>
      </c>
    </row>
    <row r="22" spans="1:3" x14ac:dyDescent="0.25">
      <c r="A22" s="6" t="s">
        <v>123</v>
      </c>
      <c r="B22" s="6" t="s">
        <v>124</v>
      </c>
      <c r="C22" s="7" t="s">
        <v>117</v>
      </c>
    </row>
    <row r="23" spans="1:3" x14ac:dyDescent="0.25">
      <c r="A23" s="6" t="s">
        <v>129</v>
      </c>
      <c r="B23" s="6" t="s">
        <v>130</v>
      </c>
      <c r="C23" s="7" t="s">
        <v>120</v>
      </c>
    </row>
    <row r="24" spans="1:3" x14ac:dyDescent="0.25">
      <c r="A24" s="6" t="s">
        <v>129</v>
      </c>
      <c r="B24" s="6" t="s">
        <v>130</v>
      </c>
      <c r="C24" s="7" t="s">
        <v>121</v>
      </c>
    </row>
    <row r="25" spans="1:3" x14ac:dyDescent="0.25">
      <c r="A25" s="6" t="s">
        <v>129</v>
      </c>
      <c r="B25" s="6" t="s">
        <v>130</v>
      </c>
      <c r="C25" s="7" t="s">
        <v>122</v>
      </c>
    </row>
    <row r="26" spans="1:3" x14ac:dyDescent="0.25">
      <c r="A26" s="6" t="s">
        <v>129</v>
      </c>
      <c r="B26" s="6" t="s">
        <v>130</v>
      </c>
      <c r="C26" s="7" t="s">
        <v>115</v>
      </c>
    </row>
    <row r="27" spans="1:3" x14ac:dyDescent="0.25">
      <c r="A27" s="6" t="s">
        <v>129</v>
      </c>
      <c r="B27" s="6" t="s">
        <v>130</v>
      </c>
      <c r="C27" s="7" t="s">
        <v>116</v>
      </c>
    </row>
    <row r="28" spans="1:3" x14ac:dyDescent="0.25">
      <c r="A28" s="6" t="s">
        <v>131</v>
      </c>
      <c r="B28" s="6" t="s">
        <v>132</v>
      </c>
      <c r="C28" s="7" t="s">
        <v>122</v>
      </c>
    </row>
    <row r="29" spans="1:3" x14ac:dyDescent="0.25">
      <c r="A29" s="6" t="s">
        <v>131</v>
      </c>
      <c r="B29" s="6" t="s">
        <v>132</v>
      </c>
      <c r="C29" s="7" t="s">
        <v>115</v>
      </c>
    </row>
    <row r="30" spans="1:3" x14ac:dyDescent="0.25">
      <c r="A30" s="6" t="s">
        <v>131</v>
      </c>
      <c r="B30" s="6" t="s">
        <v>132</v>
      </c>
      <c r="C30" s="7" t="s">
        <v>127</v>
      </c>
    </row>
    <row r="31" spans="1:3" x14ac:dyDescent="0.25">
      <c r="A31" s="6" t="s">
        <v>131</v>
      </c>
      <c r="B31" s="6" t="s">
        <v>132</v>
      </c>
      <c r="C31" s="7" t="s">
        <v>116</v>
      </c>
    </row>
    <row r="32" spans="1:3" x14ac:dyDescent="0.25">
      <c r="A32" s="6" t="s">
        <v>131</v>
      </c>
      <c r="B32" s="6" t="s">
        <v>132</v>
      </c>
      <c r="C32" s="7" t="s">
        <v>117</v>
      </c>
    </row>
    <row r="33" spans="1:3" ht="29.25" x14ac:dyDescent="0.25">
      <c r="A33" s="6" t="s">
        <v>133</v>
      </c>
      <c r="B33" s="6" t="s">
        <v>134</v>
      </c>
      <c r="C33" s="7" t="s">
        <v>59</v>
      </c>
    </row>
    <row r="34" spans="1:3" x14ac:dyDescent="0.25">
      <c r="A34" s="6" t="s">
        <v>64</v>
      </c>
      <c r="B34" s="6" t="s">
        <v>135</v>
      </c>
      <c r="C34" s="7" t="s">
        <v>136</v>
      </c>
    </row>
    <row r="35" spans="1:3" x14ac:dyDescent="0.25">
      <c r="A35" s="6" t="s">
        <v>64</v>
      </c>
      <c r="B35" s="6" t="s">
        <v>135</v>
      </c>
      <c r="C35" s="7" t="s">
        <v>137</v>
      </c>
    </row>
    <row r="36" spans="1:3" x14ac:dyDescent="0.25">
      <c r="A36" s="6" t="s">
        <v>64</v>
      </c>
      <c r="B36" s="6" t="s">
        <v>135</v>
      </c>
      <c r="C36" s="7" t="s">
        <v>138</v>
      </c>
    </row>
    <row r="37" spans="1:3" ht="29.25" x14ac:dyDescent="0.25">
      <c r="A37" s="6" t="s">
        <v>68</v>
      </c>
      <c r="B37" s="6" t="s">
        <v>139</v>
      </c>
      <c r="C37" s="7" t="s">
        <v>120</v>
      </c>
    </row>
    <row r="38" spans="1:3" ht="29.25" x14ac:dyDescent="0.25">
      <c r="A38" s="6" t="s">
        <v>68</v>
      </c>
      <c r="B38" s="6" t="s">
        <v>139</v>
      </c>
      <c r="C38" s="7" t="s">
        <v>121</v>
      </c>
    </row>
    <row r="39" spans="1:3" ht="29.25" x14ac:dyDescent="0.25">
      <c r="A39" s="6" t="s">
        <v>68</v>
      </c>
      <c r="B39" s="6" t="s">
        <v>139</v>
      </c>
      <c r="C39" s="7" t="s">
        <v>140</v>
      </c>
    </row>
    <row r="40" spans="1:3" ht="29.25" x14ac:dyDescent="0.25">
      <c r="A40" s="6" t="s">
        <v>68</v>
      </c>
      <c r="B40" s="6" t="s">
        <v>139</v>
      </c>
      <c r="C40" s="7" t="s">
        <v>122</v>
      </c>
    </row>
    <row r="41" spans="1:3" ht="29.25" x14ac:dyDescent="0.25">
      <c r="A41" s="6" t="s">
        <v>68</v>
      </c>
      <c r="B41" s="6" t="s">
        <v>139</v>
      </c>
      <c r="C41" s="7" t="s">
        <v>115</v>
      </c>
    </row>
    <row r="42" spans="1:3" ht="29.25" x14ac:dyDescent="0.25">
      <c r="A42" s="6" t="s">
        <v>68</v>
      </c>
      <c r="B42" s="6" t="s">
        <v>139</v>
      </c>
      <c r="C42" s="7" t="s">
        <v>127</v>
      </c>
    </row>
    <row r="43" spans="1:3" ht="29.25" x14ac:dyDescent="0.25">
      <c r="A43" s="6" t="s">
        <v>68</v>
      </c>
      <c r="B43" s="6" t="s">
        <v>139</v>
      </c>
      <c r="C43" s="7" t="s">
        <v>116</v>
      </c>
    </row>
    <row r="44" spans="1:3" ht="29.25" x14ac:dyDescent="0.25">
      <c r="A44" s="6" t="s">
        <v>68</v>
      </c>
      <c r="B44" s="6" t="s">
        <v>139</v>
      </c>
      <c r="C44" s="7" t="s">
        <v>117</v>
      </c>
    </row>
    <row r="45" spans="1:3" ht="29.25" x14ac:dyDescent="0.25">
      <c r="A45" s="6" t="s">
        <v>141</v>
      </c>
      <c r="B45" s="6" t="s">
        <v>142</v>
      </c>
      <c r="C45" s="7" t="s">
        <v>143</v>
      </c>
    </row>
    <row r="46" spans="1:3" ht="29.25" x14ac:dyDescent="0.25">
      <c r="A46" s="6" t="s">
        <v>141</v>
      </c>
      <c r="B46" s="6" t="s">
        <v>142</v>
      </c>
      <c r="C46" s="7" t="s">
        <v>144</v>
      </c>
    </row>
    <row r="47" spans="1:3" x14ac:dyDescent="0.25">
      <c r="A47" s="6" t="s">
        <v>145</v>
      </c>
      <c r="B47" s="6" t="s">
        <v>146</v>
      </c>
      <c r="C47" s="7" t="s">
        <v>120</v>
      </c>
    </row>
    <row r="48" spans="1:3" x14ac:dyDescent="0.25">
      <c r="A48" s="6" t="s">
        <v>145</v>
      </c>
      <c r="B48" s="6" t="s">
        <v>146</v>
      </c>
      <c r="C48" s="7" t="s">
        <v>121</v>
      </c>
    </row>
    <row r="49" spans="1:3" x14ac:dyDescent="0.25">
      <c r="A49" s="6" t="s">
        <v>145</v>
      </c>
      <c r="B49" s="6" t="s">
        <v>146</v>
      </c>
      <c r="C49" s="7" t="s">
        <v>122</v>
      </c>
    </row>
    <row r="50" spans="1:3" x14ac:dyDescent="0.25">
      <c r="A50" s="6" t="s">
        <v>145</v>
      </c>
      <c r="B50" s="6" t="s">
        <v>146</v>
      </c>
      <c r="C50" s="7" t="s">
        <v>115</v>
      </c>
    </row>
    <row r="51" spans="1:3" x14ac:dyDescent="0.25">
      <c r="A51" s="6" t="s">
        <v>145</v>
      </c>
      <c r="B51" s="6" t="s">
        <v>146</v>
      </c>
      <c r="C51" s="7" t="s">
        <v>116</v>
      </c>
    </row>
    <row r="52" spans="1:3" x14ac:dyDescent="0.25">
      <c r="A52" s="6" t="s">
        <v>145</v>
      </c>
      <c r="B52" s="6" t="s">
        <v>146</v>
      </c>
      <c r="C52" s="7" t="s">
        <v>117</v>
      </c>
    </row>
    <row r="53" spans="1:3" ht="29.25" x14ac:dyDescent="0.25">
      <c r="A53" s="6" t="s">
        <v>147</v>
      </c>
      <c r="B53" s="6" t="s">
        <v>134</v>
      </c>
      <c r="C53" s="7" t="s">
        <v>75</v>
      </c>
    </row>
    <row r="54" spans="1:3" ht="29.25" x14ac:dyDescent="0.25">
      <c r="A54" s="6" t="s">
        <v>78</v>
      </c>
      <c r="B54" s="6" t="s">
        <v>148</v>
      </c>
      <c r="C54" s="7" t="s">
        <v>149</v>
      </c>
    </row>
    <row r="55" spans="1:3" ht="29.25" x14ac:dyDescent="0.25">
      <c r="A55" s="6" t="s">
        <v>78</v>
      </c>
      <c r="B55" s="6" t="s">
        <v>148</v>
      </c>
      <c r="C55" s="7" t="s">
        <v>150</v>
      </c>
    </row>
    <row r="56" spans="1:3" ht="29.25" x14ac:dyDescent="0.25">
      <c r="A56" s="6" t="s">
        <v>78</v>
      </c>
      <c r="B56" s="6" t="s">
        <v>148</v>
      </c>
      <c r="C56" s="7" t="s">
        <v>151</v>
      </c>
    </row>
    <row r="57" spans="1:3" ht="29.25" x14ac:dyDescent="0.25">
      <c r="A57" s="6" t="s">
        <v>78</v>
      </c>
      <c r="B57" s="6" t="s">
        <v>148</v>
      </c>
      <c r="C57" s="7" t="s">
        <v>152</v>
      </c>
    </row>
    <row r="58" spans="1:3" ht="29.25" x14ac:dyDescent="0.25">
      <c r="A58" s="6" t="s">
        <v>78</v>
      </c>
      <c r="B58" s="6" t="s">
        <v>148</v>
      </c>
      <c r="C58" s="7" t="s">
        <v>153</v>
      </c>
    </row>
    <row r="59" spans="1:3" ht="29.25" x14ac:dyDescent="0.25">
      <c r="A59" s="6" t="s">
        <v>78</v>
      </c>
      <c r="B59" s="6" t="s">
        <v>148</v>
      </c>
      <c r="C59" s="7" t="s">
        <v>154</v>
      </c>
    </row>
    <row r="60" spans="1:3" ht="29.25" x14ac:dyDescent="0.25">
      <c r="A60" s="6" t="s">
        <v>78</v>
      </c>
      <c r="B60" s="6" t="s">
        <v>148</v>
      </c>
      <c r="C60" s="7" t="s">
        <v>155</v>
      </c>
    </row>
    <row r="61" spans="1:3" ht="29.25" x14ac:dyDescent="0.25">
      <c r="A61" s="6" t="s">
        <v>78</v>
      </c>
      <c r="B61" s="6" t="s">
        <v>148</v>
      </c>
      <c r="C61" s="7" t="s">
        <v>156</v>
      </c>
    </row>
    <row r="62" spans="1:3" ht="29.25" x14ac:dyDescent="0.25">
      <c r="A62" s="6" t="s">
        <v>78</v>
      </c>
      <c r="B62" s="6" t="s">
        <v>148</v>
      </c>
      <c r="C62" s="7" t="s">
        <v>157</v>
      </c>
    </row>
    <row r="63" spans="1:3" ht="29.25" x14ac:dyDescent="0.25">
      <c r="A63" s="6" t="s">
        <v>78</v>
      </c>
      <c r="B63" s="6" t="s">
        <v>148</v>
      </c>
      <c r="C63" s="7" t="s">
        <v>158</v>
      </c>
    </row>
    <row r="64" spans="1:3" x14ac:dyDescent="0.25">
      <c r="A64" s="6" t="s">
        <v>159</v>
      </c>
      <c r="B64" s="6" t="s">
        <v>160</v>
      </c>
      <c r="C64" s="7" t="s">
        <v>116</v>
      </c>
    </row>
    <row r="65" spans="1:3" x14ac:dyDescent="0.25">
      <c r="A65" s="6" t="s">
        <v>159</v>
      </c>
      <c r="B65" s="6" t="s">
        <v>160</v>
      </c>
      <c r="C65" s="7" t="s">
        <v>117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00CA-D06D-4E3C-B4ED-F2817240D175}">
  <sheetPr codeName="Sheet4"/>
  <dimension ref="A1:G27"/>
  <sheetViews>
    <sheetView zoomScaleNormal="100" workbookViewId="0">
      <selection activeCell="C28" sqref="C28"/>
    </sheetView>
  </sheetViews>
  <sheetFormatPr defaultColWidth="8.85546875" defaultRowHeight="15" x14ac:dyDescent="0.25"/>
  <cols>
    <col min="1" max="1" width="25" customWidth="1"/>
    <col min="2" max="2" width="26.42578125" customWidth="1"/>
    <col min="3" max="3" width="31.140625" customWidth="1"/>
    <col min="4" max="5" width="18.42578125" customWidth="1"/>
    <col min="6" max="6" width="30.42578125" customWidth="1"/>
    <col min="7" max="7" width="18.85546875" customWidth="1"/>
  </cols>
  <sheetData>
    <row r="1" spans="1:7" x14ac:dyDescent="0.25">
      <c r="A1" s="8" t="s">
        <v>6</v>
      </c>
      <c r="B1" s="8" t="s">
        <v>193</v>
      </c>
      <c r="C1" s="9" t="s">
        <v>1</v>
      </c>
      <c r="D1" s="9" t="s">
        <v>2</v>
      </c>
      <c r="E1" s="9" t="s">
        <v>3</v>
      </c>
      <c r="F1" s="9" t="s">
        <v>4</v>
      </c>
      <c r="G1" s="9" t="s">
        <v>5</v>
      </c>
    </row>
    <row r="2" spans="1:7" x14ac:dyDescent="0.25">
      <c r="A2" s="8" t="s">
        <v>104</v>
      </c>
      <c r="B2" s="8" t="s">
        <v>104</v>
      </c>
      <c r="C2" s="9" t="s">
        <v>104</v>
      </c>
      <c r="D2" s="9" t="s">
        <v>161</v>
      </c>
      <c r="E2" s="9" t="s">
        <v>104</v>
      </c>
      <c r="F2" s="9" t="s">
        <v>104</v>
      </c>
      <c r="G2" s="9" t="s">
        <v>104</v>
      </c>
    </row>
    <row r="3" spans="1:7" x14ac:dyDescent="0.25">
      <c r="A3" s="10" t="s">
        <v>162</v>
      </c>
      <c r="B3" s="10" t="s">
        <v>163</v>
      </c>
      <c r="C3" s="11" t="s">
        <v>26</v>
      </c>
      <c r="D3" s="12">
        <v>0.23</v>
      </c>
      <c r="E3" s="12" t="s">
        <v>164</v>
      </c>
      <c r="F3" s="13"/>
      <c r="G3" s="13"/>
    </row>
    <row r="4" spans="1:7" x14ac:dyDescent="0.25">
      <c r="A4" s="10" t="s">
        <v>165</v>
      </c>
      <c r="B4" s="10" t="s">
        <v>166</v>
      </c>
      <c r="C4" s="11" t="s">
        <v>31</v>
      </c>
      <c r="D4" s="12">
        <v>0.46500000000000002</v>
      </c>
      <c r="E4" s="12" t="s">
        <v>167</v>
      </c>
      <c r="F4" s="11" t="s">
        <v>32</v>
      </c>
      <c r="G4" s="11" t="s">
        <v>33</v>
      </c>
    </row>
    <row r="5" spans="1:7" ht="26.25" x14ac:dyDescent="0.25">
      <c r="A5" s="10" t="s">
        <v>165</v>
      </c>
      <c r="B5" s="10" t="s">
        <v>166</v>
      </c>
      <c r="C5" s="11" t="s">
        <v>38</v>
      </c>
      <c r="D5" s="12">
        <v>3.5</v>
      </c>
      <c r="E5" s="14">
        <v>201132</v>
      </c>
      <c r="F5" s="11" t="s">
        <v>39</v>
      </c>
      <c r="G5" s="11" t="s">
        <v>33</v>
      </c>
    </row>
    <row r="6" spans="1:7" x14ac:dyDescent="0.25">
      <c r="A6" s="10" t="s">
        <v>168</v>
      </c>
      <c r="B6" s="10" t="s">
        <v>130</v>
      </c>
      <c r="C6" s="11" t="s">
        <v>45</v>
      </c>
      <c r="D6" s="12">
        <v>0.08</v>
      </c>
      <c r="E6" s="12" t="s">
        <v>169</v>
      </c>
      <c r="F6" s="13"/>
      <c r="G6" s="11" t="s">
        <v>46</v>
      </c>
    </row>
    <row r="7" spans="1:7" x14ac:dyDescent="0.25">
      <c r="A7" s="10" t="s">
        <v>168</v>
      </c>
      <c r="B7" s="10" t="s">
        <v>130</v>
      </c>
      <c r="C7" s="11" t="s">
        <v>51</v>
      </c>
      <c r="D7" s="12">
        <v>2.5000000000000001E-2</v>
      </c>
      <c r="E7" s="11" t="s">
        <v>170</v>
      </c>
      <c r="F7" s="13"/>
      <c r="G7" s="11" t="s">
        <v>46</v>
      </c>
    </row>
    <row r="8" spans="1:7" x14ac:dyDescent="0.25">
      <c r="A8" s="10" t="s">
        <v>168</v>
      </c>
      <c r="B8" s="10" t="s">
        <v>130</v>
      </c>
      <c r="C8" s="11" t="s">
        <v>54</v>
      </c>
      <c r="D8" s="12">
        <v>7.8E-2</v>
      </c>
      <c r="E8" s="11" t="s">
        <v>171</v>
      </c>
      <c r="F8" s="13"/>
      <c r="G8" s="11" t="s">
        <v>46</v>
      </c>
    </row>
    <row r="9" spans="1:7" x14ac:dyDescent="0.25">
      <c r="A9" s="10" t="s">
        <v>172</v>
      </c>
      <c r="B9" s="10" t="s">
        <v>173</v>
      </c>
      <c r="C9" s="11" t="s">
        <v>60</v>
      </c>
      <c r="D9" s="12">
        <v>0.25</v>
      </c>
      <c r="E9" s="14">
        <v>100100100</v>
      </c>
      <c r="F9" s="13"/>
      <c r="G9" s="11" t="s">
        <v>30</v>
      </c>
    </row>
    <row r="10" spans="1:7" x14ac:dyDescent="0.25">
      <c r="A10" s="10" t="s">
        <v>172</v>
      </c>
      <c r="B10" s="10" t="s">
        <v>173</v>
      </c>
      <c r="C10" s="11" t="s">
        <v>65</v>
      </c>
      <c r="D10" s="12">
        <v>0.95</v>
      </c>
      <c r="E10" s="12" t="s">
        <v>174</v>
      </c>
      <c r="F10" s="13"/>
      <c r="G10" s="11" t="s">
        <v>30</v>
      </c>
    </row>
    <row r="11" spans="1:7" ht="15" customHeight="1" x14ac:dyDescent="0.25">
      <c r="A11" s="10" t="s">
        <v>175</v>
      </c>
      <c r="B11" s="10" t="s">
        <v>134</v>
      </c>
      <c r="C11" s="11" t="s">
        <v>69</v>
      </c>
      <c r="D11" s="15"/>
      <c r="E11" s="15"/>
      <c r="F11" s="15"/>
      <c r="G11" s="15"/>
    </row>
    <row r="12" spans="1:7" ht="26.25" x14ac:dyDescent="0.25">
      <c r="A12" s="10" t="s">
        <v>175</v>
      </c>
      <c r="B12" s="10" t="s">
        <v>134</v>
      </c>
      <c r="C12" s="11" t="s">
        <v>71</v>
      </c>
      <c r="D12" s="11">
        <v>7.0000000000000001E-3</v>
      </c>
      <c r="E12" s="11" t="s">
        <v>176</v>
      </c>
      <c r="F12" s="11" t="s">
        <v>72</v>
      </c>
      <c r="G12" s="11" t="s">
        <v>46</v>
      </c>
    </row>
    <row r="13" spans="1:7" ht="26.25" x14ac:dyDescent="0.25">
      <c r="A13" s="10" t="s">
        <v>175</v>
      </c>
      <c r="B13" s="10" t="s">
        <v>134</v>
      </c>
      <c r="C13" s="11" t="s">
        <v>73</v>
      </c>
      <c r="D13" s="11">
        <v>0.01</v>
      </c>
      <c r="E13" s="11" t="s">
        <v>177</v>
      </c>
      <c r="F13" s="11" t="s">
        <v>74</v>
      </c>
      <c r="G13" s="11" t="s">
        <v>46</v>
      </c>
    </row>
    <row r="14" spans="1:7" ht="26.25" x14ac:dyDescent="0.25">
      <c r="A14" s="10" t="s">
        <v>175</v>
      </c>
      <c r="B14" s="10" t="s">
        <v>134</v>
      </c>
      <c r="C14" s="11" t="s">
        <v>76</v>
      </c>
      <c r="D14" s="11">
        <v>1.4999999999999999E-2</v>
      </c>
      <c r="E14" s="11" t="s">
        <v>178</v>
      </c>
      <c r="F14" s="11" t="s">
        <v>77</v>
      </c>
      <c r="G14" s="11" t="s">
        <v>46</v>
      </c>
    </row>
    <row r="15" spans="1:7" ht="26.25" x14ac:dyDescent="0.25">
      <c r="A15" s="10" t="s">
        <v>175</v>
      </c>
      <c r="B15" s="10" t="s">
        <v>134</v>
      </c>
      <c r="C15" s="11" t="s">
        <v>79</v>
      </c>
      <c r="D15" s="11">
        <v>1.7999999999999999E-2</v>
      </c>
      <c r="E15" s="11" t="s">
        <v>179</v>
      </c>
      <c r="F15" s="11" t="s">
        <v>80</v>
      </c>
      <c r="G15" s="11" t="s">
        <v>46</v>
      </c>
    </row>
    <row r="16" spans="1:7" ht="26.25" x14ac:dyDescent="0.25">
      <c r="A16" s="10" t="s">
        <v>175</v>
      </c>
      <c r="B16" s="10" t="s">
        <v>134</v>
      </c>
      <c r="C16" s="11" t="s">
        <v>81</v>
      </c>
      <c r="D16" s="11">
        <v>0.03</v>
      </c>
      <c r="E16" s="11" t="s">
        <v>180</v>
      </c>
      <c r="F16" s="11" t="s">
        <v>82</v>
      </c>
      <c r="G16" s="11" t="s">
        <v>46</v>
      </c>
    </row>
    <row r="17" spans="1:7" ht="26.25" x14ac:dyDescent="0.25">
      <c r="A17" s="10" t="s">
        <v>175</v>
      </c>
      <c r="B17" s="10" t="s">
        <v>134</v>
      </c>
      <c r="C17" s="11" t="s">
        <v>83</v>
      </c>
      <c r="D17" s="11">
        <v>1.4E-2</v>
      </c>
      <c r="E17" s="11" t="s">
        <v>181</v>
      </c>
      <c r="F17" s="11" t="s">
        <v>84</v>
      </c>
      <c r="G17" s="11" t="s">
        <v>85</v>
      </c>
    </row>
    <row r="18" spans="1:7" x14ac:dyDescent="0.25">
      <c r="A18" s="10" t="s">
        <v>182</v>
      </c>
      <c r="B18" s="10" t="s">
        <v>134</v>
      </c>
      <c r="C18" s="11" t="s">
        <v>86</v>
      </c>
      <c r="D18" s="11">
        <v>3.1</v>
      </c>
      <c r="E18" s="14">
        <v>127210</v>
      </c>
      <c r="F18" s="13"/>
      <c r="G18" s="11" t="s">
        <v>87</v>
      </c>
    </row>
    <row r="19" spans="1:7" x14ac:dyDescent="0.25">
      <c r="A19" s="10" t="s">
        <v>183</v>
      </c>
      <c r="B19" s="10" t="s">
        <v>166</v>
      </c>
      <c r="C19" s="11" t="s">
        <v>88</v>
      </c>
      <c r="D19" s="12" t="s">
        <v>89</v>
      </c>
      <c r="E19" s="12"/>
      <c r="F19" s="11"/>
      <c r="G19" s="11" t="s">
        <v>46</v>
      </c>
    </row>
    <row r="20" spans="1:7" x14ac:dyDescent="0.25">
      <c r="A20" s="10" t="s">
        <v>183</v>
      </c>
      <c r="B20" s="10" t="s">
        <v>166</v>
      </c>
      <c r="C20" s="11" t="s">
        <v>90</v>
      </c>
      <c r="D20" s="12">
        <v>3.2000000000000001E-2</v>
      </c>
      <c r="E20" s="12" t="s">
        <v>184</v>
      </c>
      <c r="F20" s="11" t="s">
        <v>91</v>
      </c>
      <c r="G20" s="11" t="s">
        <v>46</v>
      </c>
    </row>
    <row r="21" spans="1:7" ht="26.25" x14ac:dyDescent="0.25">
      <c r="A21" s="10" t="s">
        <v>185</v>
      </c>
      <c r="B21" s="10" t="s">
        <v>134</v>
      </c>
      <c r="C21" s="11" t="s">
        <v>92</v>
      </c>
      <c r="D21" s="11">
        <v>5</v>
      </c>
      <c r="E21" s="16">
        <v>234278.6</v>
      </c>
      <c r="F21" s="11" t="s">
        <v>93</v>
      </c>
      <c r="G21" s="13"/>
    </row>
    <row r="22" spans="1:7" x14ac:dyDescent="0.25">
      <c r="A22" s="10" t="s">
        <v>186</v>
      </c>
      <c r="B22" s="10" t="s">
        <v>139</v>
      </c>
      <c r="C22" s="11" t="s">
        <v>94</v>
      </c>
      <c r="D22" s="12">
        <v>0.3</v>
      </c>
      <c r="E22" s="12" t="s">
        <v>187</v>
      </c>
      <c r="F22" s="11" t="s">
        <v>95</v>
      </c>
      <c r="G22" s="13"/>
    </row>
    <row r="23" spans="1:7" ht="26.25" x14ac:dyDescent="0.25">
      <c r="A23" s="11" t="s">
        <v>188</v>
      </c>
      <c r="B23" s="10" t="s">
        <v>134</v>
      </c>
      <c r="C23" s="11" t="s">
        <v>96</v>
      </c>
      <c r="D23" s="11">
        <v>0.35</v>
      </c>
      <c r="E23" s="11" t="s">
        <v>189</v>
      </c>
      <c r="F23" s="11" t="s">
        <v>97</v>
      </c>
      <c r="G23" s="11" t="s">
        <v>98</v>
      </c>
    </row>
    <row r="24" spans="1:7" ht="26.25" x14ac:dyDescent="0.25">
      <c r="A24" s="11" t="s">
        <v>188</v>
      </c>
      <c r="B24" s="10" t="s">
        <v>134</v>
      </c>
      <c r="C24" s="11" t="s">
        <v>99</v>
      </c>
      <c r="D24" s="11">
        <v>2.9</v>
      </c>
      <c r="E24" s="17">
        <v>210140140</v>
      </c>
      <c r="F24" s="11"/>
      <c r="G24" s="11" t="s">
        <v>87</v>
      </c>
    </row>
    <row r="25" spans="1:7" ht="26.25" x14ac:dyDescent="0.25">
      <c r="A25" s="11" t="s">
        <v>188</v>
      </c>
      <c r="B25" s="10" t="s">
        <v>134</v>
      </c>
      <c r="C25" s="11" t="s">
        <v>100</v>
      </c>
      <c r="D25" s="11">
        <v>2.2000000000000002</v>
      </c>
      <c r="E25" s="17">
        <v>172140140</v>
      </c>
      <c r="F25" s="11"/>
      <c r="G25" s="11" t="s">
        <v>87</v>
      </c>
    </row>
    <row r="26" spans="1:7" x14ac:dyDescent="0.25">
      <c r="A26" s="11" t="s">
        <v>188</v>
      </c>
      <c r="B26" s="10" t="s">
        <v>134</v>
      </c>
      <c r="C26" s="11" t="s">
        <v>101</v>
      </c>
      <c r="D26" s="11">
        <v>1.23</v>
      </c>
      <c r="E26" s="11" t="s">
        <v>190</v>
      </c>
      <c r="F26" s="11"/>
      <c r="G26" s="11" t="s">
        <v>87</v>
      </c>
    </row>
    <row r="27" spans="1:7" x14ac:dyDescent="0.25">
      <c r="A27" s="11" t="s">
        <v>188</v>
      </c>
      <c r="B27" s="10" t="s">
        <v>134</v>
      </c>
      <c r="C27" s="11" t="s">
        <v>102</v>
      </c>
      <c r="D27" s="11">
        <v>1.72</v>
      </c>
      <c r="E27" s="17">
        <v>221112112</v>
      </c>
      <c r="F27" s="11"/>
      <c r="G27" s="11" t="s">
        <v>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C9574-6DAB-41D5-9C9D-C17E73CAD6DC}">
  <sheetPr codeName="Sheet5"/>
  <dimension ref="A1:B11"/>
  <sheetViews>
    <sheetView workbookViewId="0"/>
  </sheetViews>
  <sheetFormatPr defaultColWidth="8.85546875" defaultRowHeight="15" x14ac:dyDescent="0.25"/>
  <cols>
    <col min="1" max="1" width="32.28515625" customWidth="1"/>
    <col min="2" max="2" width="22.85546875" customWidth="1"/>
  </cols>
  <sheetData>
    <row r="1" spans="1:2" x14ac:dyDescent="0.25">
      <c r="A1" s="1" t="s">
        <v>6</v>
      </c>
      <c r="B1" s="1" t="s">
        <v>1</v>
      </c>
    </row>
    <row r="2" spans="1:2" x14ac:dyDescent="0.25">
      <c r="A2" s="1" t="s">
        <v>104</v>
      </c>
      <c r="B2" s="1" t="s">
        <v>104</v>
      </c>
    </row>
    <row r="3" spans="1:2" ht="43.5" x14ac:dyDescent="0.25">
      <c r="A3" s="2" t="s">
        <v>27</v>
      </c>
      <c r="B3" s="2" t="s">
        <v>28</v>
      </c>
    </row>
    <row r="4" spans="1:2" ht="29.25" x14ac:dyDescent="0.25">
      <c r="A4" s="2" t="s">
        <v>34</v>
      </c>
      <c r="B4" s="2" t="s">
        <v>35</v>
      </c>
    </row>
    <row r="5" spans="1:2" ht="29.25" x14ac:dyDescent="0.25">
      <c r="A5" s="2" t="s">
        <v>40</v>
      </c>
      <c r="B5" s="2" t="s">
        <v>41</v>
      </c>
    </row>
    <row r="6" spans="1:2" ht="29.25" x14ac:dyDescent="0.25">
      <c r="A6" s="2" t="s">
        <v>40</v>
      </c>
      <c r="B6" s="2" t="s">
        <v>47</v>
      </c>
    </row>
    <row r="7" spans="1:2" x14ac:dyDescent="0.25">
      <c r="A7" s="2" t="s">
        <v>40</v>
      </c>
      <c r="B7" s="2" t="s">
        <v>52</v>
      </c>
    </row>
    <row r="8" spans="1:2" x14ac:dyDescent="0.25">
      <c r="A8" s="2" t="s">
        <v>55</v>
      </c>
      <c r="B8" s="2" t="s">
        <v>56</v>
      </c>
    </row>
    <row r="9" spans="1:2" ht="29.25" x14ac:dyDescent="0.25">
      <c r="A9" s="2" t="s">
        <v>61</v>
      </c>
      <c r="B9" s="2" t="s">
        <v>62</v>
      </c>
    </row>
    <row r="10" spans="1:2" x14ac:dyDescent="0.25">
      <c r="A10" s="2" t="s">
        <v>66</v>
      </c>
      <c r="B10" s="2" t="s">
        <v>67</v>
      </c>
    </row>
    <row r="11" spans="1:2" ht="29.25" x14ac:dyDescent="0.25">
      <c r="A11" s="2" t="s">
        <v>66</v>
      </c>
      <c r="B11" s="2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E2D26-45C4-425C-B6D4-7B3C523C48F5}">
  <sheetPr codeName="Sheet6"/>
  <dimension ref="A1:I5"/>
  <sheetViews>
    <sheetView zoomScaleNormal="100" workbookViewId="0">
      <selection activeCell="K7" sqref="K7"/>
    </sheetView>
  </sheetViews>
  <sheetFormatPr defaultColWidth="8.85546875" defaultRowHeight="15" x14ac:dyDescent="0.25"/>
  <sheetData>
    <row r="1" spans="1:9" ht="51.75" x14ac:dyDescent="0.25">
      <c r="A1" s="26" t="s">
        <v>6</v>
      </c>
      <c r="B1" s="26" t="s">
        <v>1</v>
      </c>
      <c r="C1" s="26" t="s">
        <v>2</v>
      </c>
      <c r="D1" s="26" t="s">
        <v>7</v>
      </c>
      <c r="E1" s="26" t="s">
        <v>8</v>
      </c>
      <c r="F1" s="26" t="s">
        <v>9</v>
      </c>
      <c r="G1" s="26" t="s">
        <v>10</v>
      </c>
      <c r="H1" s="26" t="s">
        <v>11</v>
      </c>
      <c r="I1" s="26" t="s">
        <v>12</v>
      </c>
    </row>
    <row r="2" spans="1:9" ht="54.75" customHeight="1" x14ac:dyDescent="0.25">
      <c r="A2" s="26" t="s">
        <v>104</v>
      </c>
      <c r="B2" s="26" t="s">
        <v>104</v>
      </c>
      <c r="C2" s="26" t="s">
        <v>161</v>
      </c>
      <c r="D2" s="26" t="s">
        <v>161</v>
      </c>
      <c r="E2" s="26" t="s">
        <v>194</v>
      </c>
      <c r="F2" s="26" t="s">
        <v>161</v>
      </c>
      <c r="G2" s="26" t="s">
        <v>161</v>
      </c>
      <c r="H2" s="26" t="s">
        <v>104</v>
      </c>
      <c r="I2" s="26" t="s">
        <v>104</v>
      </c>
    </row>
    <row r="3" spans="1:9" ht="15" customHeight="1" x14ac:dyDescent="0.25">
      <c r="A3" s="11" t="s">
        <v>29</v>
      </c>
      <c r="B3" s="11"/>
      <c r="C3" s="11">
        <v>4</v>
      </c>
      <c r="D3" s="11">
        <v>600</v>
      </c>
      <c r="E3" s="17" t="s">
        <v>199</v>
      </c>
      <c r="F3" s="11">
        <v>6</v>
      </c>
      <c r="G3" s="13" t="s">
        <v>198</v>
      </c>
      <c r="H3" s="11" t="s">
        <v>30</v>
      </c>
      <c r="I3" s="11" t="s">
        <v>196</v>
      </c>
    </row>
    <row r="4" spans="1:9" ht="39" x14ac:dyDescent="0.25">
      <c r="A4" s="24" t="s">
        <v>40</v>
      </c>
      <c r="B4" s="23" t="s">
        <v>198</v>
      </c>
      <c r="C4" s="23" t="s">
        <v>198</v>
      </c>
      <c r="D4" s="24">
        <v>2500</v>
      </c>
      <c r="E4" s="23" t="s">
        <v>198</v>
      </c>
      <c r="F4" s="24">
        <v>6</v>
      </c>
      <c r="G4" s="24">
        <v>36.5</v>
      </c>
      <c r="H4" s="23" t="s">
        <v>198</v>
      </c>
      <c r="I4" s="24" t="s">
        <v>42</v>
      </c>
    </row>
    <row r="5" spans="1:9" ht="51.75" x14ac:dyDescent="0.25">
      <c r="A5" s="24" t="s">
        <v>48</v>
      </c>
      <c r="B5" s="24" t="s">
        <v>49</v>
      </c>
      <c r="C5" s="23" t="s">
        <v>198</v>
      </c>
      <c r="D5" s="25">
        <v>100</v>
      </c>
      <c r="E5" s="24" t="s">
        <v>195</v>
      </c>
      <c r="F5" s="24">
        <v>3</v>
      </c>
      <c r="G5" s="24">
        <v>1.5</v>
      </c>
      <c r="H5" s="23" t="s">
        <v>198</v>
      </c>
      <c r="I5" s="23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A0239-A067-43E8-9DB2-DAEE504E0FEC}">
  <sheetPr codeName="Sheet7"/>
  <dimension ref="A1:K7"/>
  <sheetViews>
    <sheetView zoomScaleNormal="100" workbookViewId="0">
      <selection activeCell="B1" sqref="B1"/>
    </sheetView>
  </sheetViews>
  <sheetFormatPr defaultColWidth="8.85546875" defaultRowHeight="15" x14ac:dyDescent="0.25"/>
  <cols>
    <col min="3" max="3" width="20.42578125" customWidth="1"/>
  </cols>
  <sheetData>
    <row r="1" spans="1:11" ht="100.5" x14ac:dyDescent="0.25">
      <c r="A1" s="18" t="s">
        <v>6</v>
      </c>
      <c r="B1" s="18" t="s">
        <v>19</v>
      </c>
      <c r="C1" s="18" t="s">
        <v>13</v>
      </c>
      <c r="D1" s="27" t="s">
        <v>191</v>
      </c>
      <c r="E1" s="18" t="s">
        <v>14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21</v>
      </c>
      <c r="K1" s="18" t="s">
        <v>200</v>
      </c>
    </row>
    <row r="2" spans="1:11" x14ac:dyDescent="0.25">
      <c r="A2" s="18" t="s">
        <v>104</v>
      </c>
      <c r="B2" s="18" t="s">
        <v>104</v>
      </c>
      <c r="C2" s="18" t="s">
        <v>161</v>
      </c>
      <c r="D2" s="27" t="s">
        <v>161</v>
      </c>
      <c r="E2" s="18" t="s">
        <v>161</v>
      </c>
      <c r="F2" s="18" t="s">
        <v>161</v>
      </c>
      <c r="G2" s="18" t="s">
        <v>161</v>
      </c>
      <c r="H2" s="18" t="s">
        <v>197</v>
      </c>
      <c r="I2" s="18" t="s">
        <v>161</v>
      </c>
      <c r="J2" s="28" t="s">
        <v>201</v>
      </c>
      <c r="K2" s="29" t="s">
        <v>161</v>
      </c>
    </row>
    <row r="3" spans="1:11" ht="29.25" x14ac:dyDescent="0.25">
      <c r="A3" s="18" t="s">
        <v>204</v>
      </c>
      <c r="B3" s="30" t="s">
        <v>202</v>
      </c>
      <c r="C3" s="18">
        <v>55</v>
      </c>
      <c r="D3" s="27">
        <v>12</v>
      </c>
      <c r="E3" s="18">
        <v>57</v>
      </c>
      <c r="F3" s="18"/>
      <c r="G3" s="18">
        <v>215</v>
      </c>
      <c r="H3" s="18" t="s">
        <v>36</v>
      </c>
      <c r="I3" s="18">
        <v>1.24</v>
      </c>
      <c r="J3" s="18">
        <v>0</v>
      </c>
      <c r="K3" s="29"/>
    </row>
    <row r="4" spans="1:11" ht="29.25" x14ac:dyDescent="0.25">
      <c r="A4" s="18" t="s">
        <v>205</v>
      </c>
      <c r="B4" s="30" t="s">
        <v>202</v>
      </c>
      <c r="C4" s="18">
        <v>50</v>
      </c>
      <c r="D4" s="27">
        <v>16</v>
      </c>
      <c r="E4" s="18">
        <v>63</v>
      </c>
      <c r="F4" s="18"/>
      <c r="G4" s="18">
        <v>210</v>
      </c>
      <c r="H4" s="18" t="s">
        <v>36</v>
      </c>
      <c r="I4" s="18">
        <v>1.24</v>
      </c>
      <c r="J4" s="18">
        <v>0</v>
      </c>
      <c r="K4" s="29"/>
    </row>
    <row r="5" spans="1:11" ht="29.25" x14ac:dyDescent="0.25">
      <c r="A5" s="18" t="s">
        <v>206</v>
      </c>
      <c r="B5" s="30" t="s">
        <v>207</v>
      </c>
      <c r="C5" s="18"/>
      <c r="D5" s="27">
        <v>30</v>
      </c>
      <c r="E5" s="18">
        <v>61</v>
      </c>
      <c r="F5" s="18">
        <v>89</v>
      </c>
      <c r="G5" s="18">
        <v>210</v>
      </c>
      <c r="H5" s="18" t="s">
        <v>36</v>
      </c>
      <c r="I5" s="18">
        <v>1.24</v>
      </c>
      <c r="J5" s="18">
        <v>0</v>
      </c>
      <c r="K5" s="29"/>
    </row>
    <row r="6" spans="1:11" ht="29.25" x14ac:dyDescent="0.25">
      <c r="A6" s="18" t="s">
        <v>208</v>
      </c>
      <c r="B6" s="30" t="s">
        <v>202</v>
      </c>
      <c r="C6" s="18">
        <v>51</v>
      </c>
      <c r="D6" s="27">
        <v>27</v>
      </c>
      <c r="E6" s="18">
        <v>26</v>
      </c>
      <c r="F6" s="18">
        <v>84</v>
      </c>
      <c r="G6" s="18"/>
      <c r="H6" s="18"/>
      <c r="I6" s="18">
        <v>1.264</v>
      </c>
      <c r="J6" s="27">
        <v>0</v>
      </c>
      <c r="K6" s="29">
        <v>1015</v>
      </c>
    </row>
    <row r="7" spans="1:11" ht="29.25" x14ac:dyDescent="0.25">
      <c r="A7" s="18" t="s">
        <v>209</v>
      </c>
      <c r="B7" s="30" t="s">
        <v>203</v>
      </c>
      <c r="C7" s="18">
        <v>55</v>
      </c>
      <c r="D7" s="18"/>
      <c r="E7" s="18">
        <v>55</v>
      </c>
      <c r="F7" s="18">
        <v>95</v>
      </c>
      <c r="G7" s="18">
        <v>210</v>
      </c>
      <c r="H7" s="18" t="s">
        <v>57</v>
      </c>
      <c r="I7" s="18">
        <v>1.26</v>
      </c>
      <c r="J7" s="27">
        <v>1</v>
      </c>
      <c r="K7" s="29">
        <v>107.5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84FDB-A343-4018-8A93-6EA6FADE63DC}">
  <sheetPr codeName="Sheet8"/>
  <dimension ref="A1:K7"/>
  <sheetViews>
    <sheetView workbookViewId="0">
      <selection activeCell="B1" sqref="B1"/>
    </sheetView>
  </sheetViews>
  <sheetFormatPr defaultColWidth="8.85546875" defaultRowHeight="15" x14ac:dyDescent="0.25"/>
  <cols>
    <col min="2" max="2" width="28.42578125" customWidth="1"/>
    <col min="3" max="3" width="19.140625" customWidth="1"/>
    <col min="4" max="4" width="17.140625" customWidth="1"/>
    <col min="5" max="5" width="19.140625" customWidth="1"/>
  </cols>
  <sheetData>
    <row r="1" spans="1:11" ht="86.25" x14ac:dyDescent="0.25">
      <c r="A1" s="18" t="s">
        <v>6</v>
      </c>
      <c r="B1" s="18" t="s">
        <v>19</v>
      </c>
      <c r="C1" s="18" t="s">
        <v>13</v>
      </c>
      <c r="D1" s="27" t="s">
        <v>210</v>
      </c>
      <c r="E1" s="18" t="s">
        <v>20</v>
      </c>
      <c r="F1" s="18" t="s">
        <v>15</v>
      </c>
      <c r="G1" s="18" t="s">
        <v>16</v>
      </c>
      <c r="H1" s="18" t="s">
        <v>17</v>
      </c>
      <c r="I1" s="18" t="s">
        <v>18</v>
      </c>
      <c r="J1" s="19" t="s">
        <v>21</v>
      </c>
      <c r="K1" s="19" t="s">
        <v>200</v>
      </c>
    </row>
    <row r="2" spans="1:11" ht="28.5" customHeight="1" x14ac:dyDescent="0.25">
      <c r="A2" s="19" t="s">
        <v>104</v>
      </c>
      <c r="B2" s="19" t="s">
        <v>104</v>
      </c>
      <c r="C2" s="19" t="s">
        <v>161</v>
      </c>
      <c r="D2" s="19" t="s">
        <v>161</v>
      </c>
      <c r="E2" s="19" t="s">
        <v>161</v>
      </c>
      <c r="F2" s="19" t="s">
        <v>161</v>
      </c>
      <c r="G2" s="19" t="s">
        <v>161</v>
      </c>
      <c r="H2" s="19" t="s">
        <v>161</v>
      </c>
      <c r="I2" s="19" t="s">
        <v>161</v>
      </c>
      <c r="J2" s="19" t="s">
        <v>201</v>
      </c>
      <c r="K2" s="19" t="s">
        <v>197</v>
      </c>
    </row>
    <row r="3" spans="1:11" ht="29.25" x14ac:dyDescent="0.25">
      <c r="A3" s="19" t="s">
        <v>208</v>
      </c>
      <c r="B3" s="19" t="s">
        <v>214</v>
      </c>
      <c r="C3" s="19">
        <v>100</v>
      </c>
      <c r="D3" s="19">
        <v>35.5</v>
      </c>
      <c r="E3" s="19">
        <v>21</v>
      </c>
      <c r="F3" s="19">
        <v>49.5</v>
      </c>
      <c r="G3" s="19"/>
      <c r="H3" s="19"/>
      <c r="I3" s="19">
        <v>1.0972</v>
      </c>
      <c r="J3" s="31">
        <v>1</v>
      </c>
      <c r="K3" s="31" t="s">
        <v>211</v>
      </c>
    </row>
    <row r="4" spans="1:11" ht="29.25" x14ac:dyDescent="0.25">
      <c r="A4" s="19" t="s">
        <v>208</v>
      </c>
      <c r="B4" s="19" t="s">
        <v>215</v>
      </c>
      <c r="C4" s="19">
        <v>105</v>
      </c>
      <c r="D4" s="19">
        <v>36.200000000000003</v>
      </c>
      <c r="E4" s="19">
        <v>35</v>
      </c>
      <c r="F4" s="19">
        <v>44</v>
      </c>
      <c r="G4" s="19"/>
      <c r="H4" s="19"/>
      <c r="I4" s="19">
        <v>1.07</v>
      </c>
      <c r="J4" s="31">
        <v>1</v>
      </c>
      <c r="K4" s="30" t="s">
        <v>211</v>
      </c>
    </row>
    <row r="5" spans="1:11" ht="29.25" x14ac:dyDescent="0.25">
      <c r="A5" s="31" t="s">
        <v>209</v>
      </c>
      <c r="B5" s="19" t="s">
        <v>216</v>
      </c>
      <c r="C5" s="19">
        <v>97</v>
      </c>
      <c r="D5" s="19"/>
      <c r="E5" s="19">
        <v>58</v>
      </c>
      <c r="F5" s="19">
        <v>80</v>
      </c>
      <c r="G5" s="19">
        <v>230</v>
      </c>
      <c r="H5" s="19">
        <v>110</v>
      </c>
      <c r="I5" s="19">
        <v>1.0900000000000001</v>
      </c>
      <c r="J5" s="31">
        <v>1</v>
      </c>
      <c r="K5" s="31" t="s">
        <v>212</v>
      </c>
    </row>
    <row r="6" spans="1:11" ht="29.25" x14ac:dyDescent="0.25">
      <c r="A6" s="19" t="s">
        <v>205</v>
      </c>
      <c r="B6" s="19" t="s">
        <v>217</v>
      </c>
      <c r="C6" s="19">
        <v>106</v>
      </c>
      <c r="D6" s="19">
        <v>21</v>
      </c>
      <c r="E6" s="19">
        <v>47</v>
      </c>
      <c r="F6" s="19">
        <v>78</v>
      </c>
      <c r="G6" s="19">
        <v>250</v>
      </c>
      <c r="H6" s="19">
        <v>90</v>
      </c>
      <c r="I6" s="19">
        <v>1.05</v>
      </c>
      <c r="J6" s="19">
        <v>0</v>
      </c>
      <c r="K6" s="19"/>
    </row>
    <row r="7" spans="1:11" x14ac:dyDescent="0.25">
      <c r="A7" s="19" t="s">
        <v>213</v>
      </c>
      <c r="B7" s="19" t="s">
        <v>218</v>
      </c>
      <c r="C7" s="19"/>
      <c r="D7" s="19"/>
      <c r="E7" s="19">
        <v>36.700000000000003</v>
      </c>
      <c r="F7" s="19"/>
      <c r="G7" s="19">
        <v>255</v>
      </c>
      <c r="H7" s="32">
        <v>95</v>
      </c>
      <c r="I7" s="19">
        <v>1.05</v>
      </c>
      <c r="J7" s="19"/>
      <c r="K7" s="1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6170C-C90B-4F38-910F-9F1682B07140}">
  <sheetPr codeName="Sheet9"/>
  <dimension ref="A1:K9"/>
  <sheetViews>
    <sheetView workbookViewId="0">
      <selection activeCell="B1" sqref="B1"/>
    </sheetView>
  </sheetViews>
  <sheetFormatPr defaultColWidth="8.85546875" defaultRowHeight="15" x14ac:dyDescent="0.25"/>
  <sheetData>
    <row r="1" spans="1:11" ht="100.5" x14ac:dyDescent="0.25">
      <c r="A1" s="18" t="s">
        <v>6</v>
      </c>
      <c r="B1" s="18" t="s">
        <v>19</v>
      </c>
      <c r="C1" s="18" t="s">
        <v>13</v>
      </c>
      <c r="D1" s="27" t="s">
        <v>230</v>
      </c>
      <c r="E1" s="18" t="s">
        <v>14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21</v>
      </c>
      <c r="K1" s="18" t="s">
        <v>200</v>
      </c>
    </row>
    <row r="2" spans="1:11" ht="51.75" customHeight="1" x14ac:dyDescent="0.25">
      <c r="A2" s="18" t="s">
        <v>104</v>
      </c>
      <c r="B2" s="18" t="s">
        <v>104</v>
      </c>
      <c r="C2" s="18" t="s">
        <v>161</v>
      </c>
      <c r="D2" s="27" t="s">
        <v>161</v>
      </c>
      <c r="E2" s="18" t="s">
        <v>161</v>
      </c>
      <c r="F2" s="18" t="s">
        <v>161</v>
      </c>
      <c r="G2" s="18" t="s">
        <v>161</v>
      </c>
      <c r="H2" s="18" t="s">
        <v>161</v>
      </c>
      <c r="I2" s="18" t="s">
        <v>161</v>
      </c>
      <c r="J2" s="18" t="s">
        <v>201</v>
      </c>
      <c r="K2" s="18" t="s">
        <v>161</v>
      </c>
    </row>
    <row r="3" spans="1:11" ht="29.25" x14ac:dyDescent="0.25">
      <c r="A3" s="18" t="s">
        <v>219</v>
      </c>
      <c r="B3" s="18" t="s">
        <v>223</v>
      </c>
      <c r="C3" s="18">
        <v>82</v>
      </c>
      <c r="D3" s="18" t="s">
        <v>198</v>
      </c>
      <c r="E3" s="18">
        <v>56</v>
      </c>
      <c r="F3" s="18" t="s">
        <v>198</v>
      </c>
      <c r="G3" s="18">
        <v>252.5</v>
      </c>
      <c r="H3" s="18">
        <v>47.5</v>
      </c>
      <c r="I3" s="18"/>
      <c r="J3" s="18"/>
      <c r="K3" s="18"/>
    </row>
    <row r="4" spans="1:11" ht="43.5" x14ac:dyDescent="0.25">
      <c r="A4" s="18" t="s">
        <v>219</v>
      </c>
      <c r="B4" s="18" t="s">
        <v>224</v>
      </c>
      <c r="C4" s="18">
        <v>112</v>
      </c>
      <c r="D4" s="18" t="s">
        <v>198</v>
      </c>
      <c r="E4" s="18">
        <v>56</v>
      </c>
      <c r="F4" s="18" t="s">
        <v>198</v>
      </c>
      <c r="G4" s="18">
        <v>292.5</v>
      </c>
      <c r="H4" s="18">
        <v>55</v>
      </c>
      <c r="I4" s="18"/>
      <c r="J4" s="18"/>
      <c r="K4" s="18"/>
    </row>
    <row r="5" spans="1:11" ht="57.75" x14ac:dyDescent="0.25">
      <c r="A5" s="18" t="s">
        <v>219</v>
      </c>
      <c r="B5" s="18" t="s">
        <v>225</v>
      </c>
      <c r="C5" s="18"/>
      <c r="D5" s="18" t="s">
        <v>198</v>
      </c>
      <c r="E5" s="18">
        <v>47</v>
      </c>
      <c r="F5" s="18" t="s">
        <v>198</v>
      </c>
      <c r="G5" s="18">
        <v>252.5</v>
      </c>
      <c r="H5" s="18">
        <v>47.5</v>
      </c>
      <c r="I5" s="18"/>
      <c r="J5" s="18">
        <v>0</v>
      </c>
      <c r="K5" s="18"/>
    </row>
    <row r="6" spans="1:11" ht="29.25" x14ac:dyDescent="0.25">
      <c r="A6" s="18" t="s">
        <v>220</v>
      </c>
      <c r="B6" s="18" t="s">
        <v>226</v>
      </c>
      <c r="C6" s="18">
        <v>138</v>
      </c>
      <c r="D6" s="18">
        <v>44</v>
      </c>
      <c r="E6" s="18">
        <v>52</v>
      </c>
      <c r="F6" s="18">
        <v>83</v>
      </c>
      <c r="G6" s="18">
        <v>285</v>
      </c>
      <c r="H6" s="18" t="s">
        <v>198</v>
      </c>
      <c r="I6" s="18">
        <v>1.2</v>
      </c>
      <c r="J6" s="27">
        <v>1</v>
      </c>
      <c r="K6" s="30">
        <v>106</v>
      </c>
    </row>
    <row r="7" spans="1:11" ht="57.75" x14ac:dyDescent="0.25">
      <c r="A7" s="18" t="s">
        <v>228</v>
      </c>
      <c r="B7" s="18" t="s">
        <v>229</v>
      </c>
      <c r="C7" s="18">
        <v>240</v>
      </c>
      <c r="D7" s="18" t="s">
        <v>198</v>
      </c>
      <c r="E7" s="18">
        <v>87</v>
      </c>
      <c r="F7" s="18">
        <v>95</v>
      </c>
      <c r="G7" s="18">
        <v>295</v>
      </c>
      <c r="H7" s="18">
        <v>130</v>
      </c>
      <c r="I7" s="18">
        <v>1.24</v>
      </c>
      <c r="J7" s="29"/>
      <c r="K7" s="27">
        <v>109</v>
      </c>
    </row>
    <row r="8" spans="1:11" ht="29.25" x14ac:dyDescent="0.25">
      <c r="A8" s="18" t="s">
        <v>208</v>
      </c>
      <c r="B8" s="18" t="s">
        <v>227</v>
      </c>
      <c r="C8" s="18">
        <v>93.5</v>
      </c>
      <c r="D8" s="18">
        <v>104.5</v>
      </c>
      <c r="E8" s="18">
        <v>37.5</v>
      </c>
      <c r="F8" s="18">
        <v>56</v>
      </c>
      <c r="G8" s="18" t="s">
        <v>198</v>
      </c>
      <c r="H8" s="18" t="s">
        <v>198</v>
      </c>
      <c r="I8" s="18">
        <v>1.01</v>
      </c>
      <c r="J8" s="27">
        <v>0</v>
      </c>
      <c r="K8" s="30">
        <v>1013</v>
      </c>
    </row>
    <row r="9" spans="1:11" ht="43.5" x14ac:dyDescent="0.25">
      <c r="A9" s="18" t="s">
        <v>221</v>
      </c>
      <c r="B9" s="18" t="s">
        <v>222</v>
      </c>
      <c r="C9" s="29">
        <f>AVERAGE(153,184)</f>
        <v>168.5</v>
      </c>
      <c r="D9" s="18" t="s">
        <v>198</v>
      </c>
      <c r="E9" s="18">
        <v>38</v>
      </c>
      <c r="F9" s="18">
        <v>70</v>
      </c>
      <c r="G9" s="18">
        <v>275</v>
      </c>
      <c r="H9" s="18">
        <v>60</v>
      </c>
      <c r="I9" s="18">
        <v>1.17</v>
      </c>
      <c r="J9" s="33"/>
      <c r="K9" s="3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2E493-63C8-46D0-8BD7-87CECFBA7EF1}">
  <sheetPr codeName="Sheet10"/>
  <dimension ref="A1:L9"/>
  <sheetViews>
    <sheetView workbookViewId="0">
      <selection activeCell="N3" sqref="N3"/>
    </sheetView>
  </sheetViews>
  <sheetFormatPr defaultColWidth="8.85546875" defaultRowHeight="15" x14ac:dyDescent="0.25"/>
  <cols>
    <col min="1" max="1" width="17.28515625" bestFit="1" customWidth="1"/>
    <col min="3" max="3" width="8.7109375" bestFit="1" customWidth="1"/>
    <col min="5" max="5" width="6.85546875" bestFit="1" customWidth="1"/>
    <col min="8" max="9" width="8.140625" bestFit="1" customWidth="1"/>
    <col min="10" max="10" width="8.5703125" bestFit="1" customWidth="1"/>
    <col min="11" max="11" width="8.5703125" customWidth="1"/>
    <col min="12" max="12" width="8.28515625" bestFit="1" customWidth="1"/>
  </cols>
  <sheetData>
    <row r="1" spans="1:12" ht="114.75" x14ac:dyDescent="0.25">
      <c r="A1" s="7" t="s">
        <v>6</v>
      </c>
      <c r="B1" s="7" t="s">
        <v>19</v>
      </c>
      <c r="C1" s="7" t="s">
        <v>13</v>
      </c>
      <c r="D1" s="6" t="s">
        <v>191</v>
      </c>
      <c r="E1" s="6" t="s">
        <v>230</v>
      </c>
      <c r="F1" s="7" t="s">
        <v>14</v>
      </c>
      <c r="G1" s="7" t="s">
        <v>15</v>
      </c>
      <c r="H1" s="7" t="s">
        <v>16</v>
      </c>
      <c r="I1" s="7" t="s">
        <v>17</v>
      </c>
      <c r="J1" s="7" t="s">
        <v>18</v>
      </c>
      <c r="K1" s="35" t="s">
        <v>238</v>
      </c>
      <c r="L1" s="34" t="s">
        <v>21</v>
      </c>
    </row>
    <row r="2" spans="1:12" ht="28.5" customHeight="1" x14ac:dyDescent="0.25">
      <c r="A2" s="7" t="s">
        <v>104</v>
      </c>
      <c r="B2" s="7" t="s">
        <v>104</v>
      </c>
      <c r="C2" s="7" t="s">
        <v>161</v>
      </c>
      <c r="D2" s="7" t="s">
        <v>161</v>
      </c>
      <c r="E2" s="7" t="s">
        <v>161</v>
      </c>
      <c r="F2" s="7" t="s">
        <v>161</v>
      </c>
      <c r="G2" s="7" t="s">
        <v>161</v>
      </c>
      <c r="H2" s="7" t="s">
        <v>161</v>
      </c>
      <c r="I2" s="7" t="s">
        <v>161</v>
      </c>
      <c r="J2" s="7" t="s">
        <v>161</v>
      </c>
      <c r="K2" s="7" t="s">
        <v>161</v>
      </c>
      <c r="L2" s="7" t="s">
        <v>201</v>
      </c>
    </row>
    <row r="3" spans="1:12" x14ac:dyDescent="0.25">
      <c r="A3" s="7" t="s">
        <v>204</v>
      </c>
      <c r="B3" s="7" t="s">
        <v>231</v>
      </c>
      <c r="C3" s="7">
        <v>113</v>
      </c>
      <c r="D3" s="7"/>
      <c r="E3" s="7"/>
      <c r="F3" s="7">
        <v>63</v>
      </c>
      <c r="G3" s="7">
        <v>91</v>
      </c>
      <c r="H3" s="7">
        <v>275</v>
      </c>
      <c r="I3" s="7">
        <v>110</v>
      </c>
      <c r="J3" s="7">
        <v>1.22</v>
      </c>
      <c r="K3" s="7"/>
      <c r="L3" s="7">
        <v>0</v>
      </c>
    </row>
    <row r="4" spans="1:12" x14ac:dyDescent="0.25">
      <c r="A4" s="20" t="s">
        <v>204</v>
      </c>
      <c r="B4" s="7" t="s">
        <v>233</v>
      </c>
      <c r="C4" s="7">
        <v>114</v>
      </c>
      <c r="D4" s="6">
        <v>35</v>
      </c>
      <c r="E4" s="6"/>
      <c r="F4" s="7">
        <v>60</v>
      </c>
      <c r="G4" s="7">
        <v>95.5</v>
      </c>
      <c r="H4" s="7">
        <v>285</v>
      </c>
      <c r="I4" s="7">
        <v>110</v>
      </c>
      <c r="J4" s="7">
        <v>1.1599999999999999</v>
      </c>
      <c r="K4" s="7"/>
      <c r="L4" s="7">
        <v>0</v>
      </c>
    </row>
    <row r="5" spans="1:12" x14ac:dyDescent="0.25">
      <c r="A5" s="20" t="s">
        <v>208</v>
      </c>
      <c r="B5" s="7" t="s">
        <v>231</v>
      </c>
      <c r="C5" s="7">
        <v>143</v>
      </c>
      <c r="D5" s="7"/>
      <c r="E5" s="7">
        <v>52</v>
      </c>
      <c r="F5" s="7">
        <v>60</v>
      </c>
      <c r="G5" s="7">
        <v>75</v>
      </c>
      <c r="H5" s="7"/>
      <c r="I5" s="7"/>
      <c r="J5" s="7">
        <v>1.2</v>
      </c>
      <c r="K5" s="7"/>
      <c r="L5" s="7">
        <v>0</v>
      </c>
    </row>
    <row r="6" spans="1:12" x14ac:dyDescent="0.25">
      <c r="A6" s="20" t="s">
        <v>235</v>
      </c>
      <c r="B6" s="7" t="s">
        <v>231</v>
      </c>
      <c r="C6" s="11">
        <f>(99+114)/2</f>
        <v>106.5</v>
      </c>
      <c r="D6" s="10">
        <v>21.5</v>
      </c>
      <c r="E6" s="10"/>
      <c r="F6" s="11">
        <v>59.7</v>
      </c>
      <c r="G6" s="11">
        <v>94.1</v>
      </c>
      <c r="H6" s="11">
        <v>280</v>
      </c>
      <c r="I6" s="11">
        <v>100</v>
      </c>
      <c r="J6" s="11">
        <v>1.19</v>
      </c>
      <c r="K6" s="11"/>
      <c r="L6" s="13"/>
    </row>
    <row r="7" spans="1:12" ht="29.25" x14ac:dyDescent="0.25">
      <c r="A7" s="20" t="s">
        <v>236</v>
      </c>
      <c r="B7" s="7" t="s">
        <v>232</v>
      </c>
      <c r="C7" s="11">
        <v>135</v>
      </c>
      <c r="D7" s="11"/>
      <c r="E7" s="11"/>
      <c r="F7" s="11">
        <v>68</v>
      </c>
      <c r="G7" s="11">
        <v>95</v>
      </c>
      <c r="H7" s="11">
        <v>295</v>
      </c>
      <c r="I7" s="11">
        <v>130</v>
      </c>
      <c r="J7" s="11">
        <v>1.24</v>
      </c>
      <c r="K7" s="11">
        <v>108</v>
      </c>
      <c r="L7" s="10">
        <v>1</v>
      </c>
    </row>
    <row r="8" spans="1:12" x14ac:dyDescent="0.25">
      <c r="A8" s="20" t="s">
        <v>236</v>
      </c>
      <c r="B8" s="7" t="s">
        <v>233</v>
      </c>
      <c r="C8" s="11">
        <v>133</v>
      </c>
      <c r="D8" s="11"/>
      <c r="E8" s="11"/>
      <c r="F8" s="11">
        <v>70</v>
      </c>
      <c r="G8" s="11">
        <v>90</v>
      </c>
      <c r="H8" s="11">
        <v>300</v>
      </c>
      <c r="I8" s="11">
        <v>140</v>
      </c>
      <c r="J8" s="11">
        <v>1.36</v>
      </c>
      <c r="K8" s="11"/>
      <c r="L8" s="13"/>
    </row>
    <row r="9" spans="1:12" x14ac:dyDescent="0.25">
      <c r="A9" s="20" t="s">
        <v>237</v>
      </c>
      <c r="B9" s="7" t="s">
        <v>234</v>
      </c>
      <c r="C9" s="11">
        <v>106</v>
      </c>
      <c r="D9" s="10">
        <v>25.8</v>
      </c>
      <c r="E9" s="10"/>
      <c r="F9" s="11">
        <v>39.9</v>
      </c>
      <c r="G9" s="11">
        <v>66.3</v>
      </c>
      <c r="H9" s="20">
        <f>(250+270)/2</f>
        <v>260</v>
      </c>
      <c r="I9" s="20">
        <f>(90+105)/2</f>
        <v>97.5</v>
      </c>
      <c r="J9" s="11">
        <v>1.1000000000000001</v>
      </c>
      <c r="K9" s="11"/>
      <c r="L9" s="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E48E5-0AC2-4D71-B5B7-3998BAAAA8DA}">
  <sheetPr codeName="Sheet11"/>
  <dimension ref="A1:J5"/>
  <sheetViews>
    <sheetView workbookViewId="0">
      <selection activeCell="J5" sqref="J5"/>
    </sheetView>
  </sheetViews>
  <sheetFormatPr defaultColWidth="8.85546875" defaultRowHeight="15" x14ac:dyDescent="0.25"/>
  <sheetData>
    <row r="1" spans="1:10" ht="100.5" x14ac:dyDescent="0.25">
      <c r="A1" s="7" t="s">
        <v>6</v>
      </c>
      <c r="B1" s="7" t="s">
        <v>19</v>
      </c>
      <c r="C1" s="7" t="s">
        <v>13</v>
      </c>
      <c r="D1" s="6" t="s">
        <v>192</v>
      </c>
      <c r="E1" s="7" t="s">
        <v>14</v>
      </c>
      <c r="F1" s="7" t="s">
        <v>15</v>
      </c>
      <c r="G1" s="7" t="s">
        <v>22</v>
      </c>
      <c r="H1" s="7" t="s">
        <v>18</v>
      </c>
      <c r="I1" s="7" t="s">
        <v>21</v>
      </c>
      <c r="J1" s="7" t="s">
        <v>239</v>
      </c>
    </row>
    <row r="2" spans="1:10" ht="36.75" customHeight="1" x14ac:dyDescent="0.25">
      <c r="A2" s="7" t="s">
        <v>104</v>
      </c>
      <c r="B2" s="7" t="s">
        <v>104</v>
      </c>
      <c r="C2" s="7" t="s">
        <v>161</v>
      </c>
      <c r="D2" s="7" t="s">
        <v>161</v>
      </c>
      <c r="E2" s="7" t="s">
        <v>161</v>
      </c>
      <c r="F2" s="7" t="s">
        <v>161</v>
      </c>
      <c r="G2" s="7" t="s">
        <v>104</v>
      </c>
      <c r="H2" s="7" t="s">
        <v>161</v>
      </c>
      <c r="I2" s="7" t="s">
        <v>201</v>
      </c>
      <c r="J2" s="20" t="s">
        <v>161</v>
      </c>
    </row>
    <row r="3" spans="1:10" x14ac:dyDescent="0.25">
      <c r="A3" s="20" t="s">
        <v>242</v>
      </c>
      <c r="B3" s="7" t="s">
        <v>240</v>
      </c>
      <c r="C3" s="7">
        <v>173</v>
      </c>
      <c r="D3" s="6">
        <v>4.72</v>
      </c>
      <c r="E3" s="7">
        <v>84</v>
      </c>
      <c r="F3" s="7">
        <v>133</v>
      </c>
      <c r="G3" s="7" t="s">
        <v>43</v>
      </c>
      <c r="H3" s="7">
        <v>1.097</v>
      </c>
      <c r="I3" s="6">
        <v>1</v>
      </c>
      <c r="J3" s="20">
        <v>108</v>
      </c>
    </row>
    <row r="4" spans="1:10" x14ac:dyDescent="0.25">
      <c r="A4" s="20" t="s">
        <v>242</v>
      </c>
      <c r="B4" s="7" t="s">
        <v>243</v>
      </c>
      <c r="C4" s="7">
        <v>181</v>
      </c>
      <c r="D4" s="6">
        <v>10.8</v>
      </c>
      <c r="E4" s="20">
        <f>(48+85)/2</f>
        <v>66.5</v>
      </c>
      <c r="F4" s="7">
        <v>139</v>
      </c>
      <c r="G4" s="7" t="s">
        <v>43</v>
      </c>
      <c r="H4" s="7">
        <v>1.1000000000000001</v>
      </c>
      <c r="I4" s="6">
        <v>1</v>
      </c>
      <c r="J4" s="7">
        <v>108</v>
      </c>
    </row>
    <row r="5" spans="1:10" x14ac:dyDescent="0.25">
      <c r="A5" s="20" t="s">
        <v>242</v>
      </c>
      <c r="B5" s="7" t="s">
        <v>241</v>
      </c>
      <c r="C5" s="7">
        <v>187</v>
      </c>
      <c r="D5" s="6">
        <v>5.82</v>
      </c>
      <c r="E5" s="7">
        <v>76.099999999999994</v>
      </c>
      <c r="F5" s="7">
        <v>120.1</v>
      </c>
      <c r="G5" s="7" t="s">
        <v>43</v>
      </c>
      <c r="H5" s="7">
        <v>1.1100000000000001</v>
      </c>
      <c r="I5" s="6">
        <v>1</v>
      </c>
      <c r="J5" s="7">
        <v>108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601E-69DC-49D9-AEF2-B557249F1E2F}">
  <sheetPr codeName="Sheet12"/>
  <dimension ref="A1:K10"/>
  <sheetViews>
    <sheetView workbookViewId="0">
      <selection activeCell="N8" sqref="N8"/>
    </sheetView>
  </sheetViews>
  <sheetFormatPr defaultColWidth="8.85546875" defaultRowHeight="15" x14ac:dyDescent="0.25"/>
  <sheetData>
    <row r="1" spans="1:11" ht="100.5" x14ac:dyDescent="0.25">
      <c r="A1" s="29" t="s">
        <v>6</v>
      </c>
      <c r="B1" s="18" t="s">
        <v>19</v>
      </c>
      <c r="C1" s="18" t="s">
        <v>13</v>
      </c>
      <c r="D1" s="27" t="s">
        <v>258</v>
      </c>
      <c r="E1" s="18" t="s">
        <v>14</v>
      </c>
      <c r="F1" s="18" t="s">
        <v>15</v>
      </c>
      <c r="G1" s="18" t="s">
        <v>16</v>
      </c>
      <c r="H1" s="18" t="s">
        <v>17</v>
      </c>
      <c r="I1" s="18" t="s">
        <v>18</v>
      </c>
      <c r="J1" s="18" t="s">
        <v>21</v>
      </c>
      <c r="K1" s="36" t="s">
        <v>239</v>
      </c>
    </row>
    <row r="2" spans="1:11" x14ac:dyDescent="0.25">
      <c r="A2" s="18" t="s">
        <v>104</v>
      </c>
      <c r="B2" s="18" t="s">
        <v>104</v>
      </c>
      <c r="C2" s="18" t="s">
        <v>161</v>
      </c>
      <c r="D2" s="27" t="s">
        <v>197</v>
      </c>
      <c r="E2" s="27" t="s">
        <v>161</v>
      </c>
      <c r="F2" s="27" t="s">
        <v>161</v>
      </c>
      <c r="G2" s="27" t="s">
        <v>161</v>
      </c>
      <c r="H2" s="27" t="s">
        <v>161</v>
      </c>
      <c r="I2" s="27" t="s">
        <v>161</v>
      </c>
      <c r="J2" s="18" t="s">
        <v>201</v>
      </c>
      <c r="K2" s="29" t="s">
        <v>197</v>
      </c>
    </row>
    <row r="3" spans="1:11" ht="29.25" x14ac:dyDescent="0.25">
      <c r="A3" s="18" t="s">
        <v>244</v>
      </c>
      <c r="B3" s="18" t="s">
        <v>245</v>
      </c>
      <c r="C3" s="18">
        <v>158</v>
      </c>
      <c r="D3" s="18"/>
      <c r="E3" s="18">
        <v>63</v>
      </c>
      <c r="F3" s="18">
        <v>90</v>
      </c>
      <c r="G3" s="18">
        <v>275</v>
      </c>
      <c r="H3" s="18">
        <v>115</v>
      </c>
      <c r="I3" s="18">
        <v>1.34</v>
      </c>
      <c r="J3" s="18">
        <v>0</v>
      </c>
      <c r="K3" s="18"/>
    </row>
    <row r="4" spans="1:11" ht="57.75" x14ac:dyDescent="0.25">
      <c r="A4" s="18" t="s">
        <v>209</v>
      </c>
      <c r="B4" s="18" t="s">
        <v>257</v>
      </c>
      <c r="C4" s="18">
        <v>205</v>
      </c>
      <c r="D4" s="18"/>
      <c r="E4" s="18">
        <v>62</v>
      </c>
      <c r="F4" s="18">
        <v>115</v>
      </c>
      <c r="G4" s="18">
        <v>395</v>
      </c>
      <c r="H4" s="18">
        <v>150</v>
      </c>
      <c r="I4" s="18">
        <v>1.34</v>
      </c>
      <c r="J4" s="27">
        <v>1</v>
      </c>
      <c r="K4" s="27">
        <v>108</v>
      </c>
    </row>
    <row r="5" spans="1:11" ht="43.5" x14ac:dyDescent="0.25">
      <c r="A5" s="18" t="s">
        <v>208</v>
      </c>
      <c r="B5" s="18" t="s">
        <v>256</v>
      </c>
      <c r="C5" s="18">
        <v>212</v>
      </c>
      <c r="D5" s="18" t="s">
        <v>246</v>
      </c>
      <c r="E5" s="18">
        <v>81</v>
      </c>
      <c r="F5" s="18">
        <v>105</v>
      </c>
      <c r="G5" s="18"/>
      <c r="H5" s="18"/>
      <c r="I5" s="18">
        <v>1.29</v>
      </c>
      <c r="J5" s="27">
        <v>0</v>
      </c>
      <c r="K5" s="27">
        <v>1014</v>
      </c>
    </row>
    <row r="6" spans="1:11" ht="29.25" x14ac:dyDescent="0.25">
      <c r="A6" s="18" t="s">
        <v>208</v>
      </c>
      <c r="B6" s="18" t="s">
        <v>245</v>
      </c>
      <c r="C6" s="18">
        <v>153</v>
      </c>
      <c r="D6" s="18" t="s">
        <v>247</v>
      </c>
      <c r="E6" s="18">
        <v>69</v>
      </c>
      <c r="F6" s="18">
        <v>89</v>
      </c>
      <c r="G6" s="18"/>
      <c r="H6" s="18"/>
      <c r="I6" s="18">
        <v>1.27</v>
      </c>
      <c r="J6" s="27">
        <v>0</v>
      </c>
      <c r="K6" s="27">
        <v>1015</v>
      </c>
    </row>
    <row r="7" spans="1:11" ht="29.25" x14ac:dyDescent="0.25">
      <c r="A7" s="18" t="s">
        <v>248</v>
      </c>
      <c r="B7" s="18" t="s">
        <v>255</v>
      </c>
      <c r="C7" s="18">
        <v>186</v>
      </c>
      <c r="D7" s="18"/>
      <c r="E7" s="18">
        <v>54</v>
      </c>
      <c r="F7" s="18">
        <v>90</v>
      </c>
      <c r="G7" s="18"/>
      <c r="H7" s="18"/>
      <c r="I7" s="18">
        <v>1.34</v>
      </c>
      <c r="J7" s="18">
        <v>0</v>
      </c>
      <c r="K7" s="18"/>
    </row>
    <row r="8" spans="1:11" ht="43.5" x14ac:dyDescent="0.25">
      <c r="A8" s="18" t="s">
        <v>249</v>
      </c>
      <c r="B8" s="18" t="s">
        <v>250</v>
      </c>
      <c r="C8" s="37">
        <v>175</v>
      </c>
      <c r="D8" s="37" t="s">
        <v>251</v>
      </c>
      <c r="E8" s="37">
        <v>80</v>
      </c>
      <c r="F8" s="37">
        <v>90</v>
      </c>
      <c r="G8" s="37">
        <v>345</v>
      </c>
      <c r="H8" s="37">
        <v>180</v>
      </c>
      <c r="I8" s="37">
        <v>1.28</v>
      </c>
      <c r="J8" s="37">
        <v>0</v>
      </c>
      <c r="K8" s="37">
        <v>1015</v>
      </c>
    </row>
    <row r="9" spans="1:11" ht="43.5" x14ac:dyDescent="0.25">
      <c r="A9" s="18" t="s">
        <v>252</v>
      </c>
      <c r="B9" s="18" t="s">
        <v>253</v>
      </c>
      <c r="C9" s="37">
        <v>165</v>
      </c>
      <c r="D9" s="37"/>
      <c r="E9" s="37">
        <v>93</v>
      </c>
      <c r="F9" s="37">
        <v>120</v>
      </c>
      <c r="G9" s="37">
        <v>390</v>
      </c>
      <c r="H9" s="37">
        <v>140</v>
      </c>
      <c r="I9" s="37">
        <v>1.39</v>
      </c>
      <c r="J9" s="38" t="s">
        <v>198</v>
      </c>
      <c r="K9" s="38"/>
    </row>
    <row r="10" spans="1:11" ht="43.5" x14ac:dyDescent="0.25">
      <c r="A10" s="18" t="s">
        <v>252</v>
      </c>
      <c r="B10" s="18" t="s">
        <v>254</v>
      </c>
      <c r="C10" s="37">
        <v>205</v>
      </c>
      <c r="D10" s="37"/>
      <c r="E10" s="37">
        <v>145</v>
      </c>
      <c r="F10" s="37">
        <v>120</v>
      </c>
      <c r="G10" s="37">
        <v>385</v>
      </c>
      <c r="H10" s="37">
        <v>140</v>
      </c>
      <c r="I10" s="37">
        <v>1.31</v>
      </c>
      <c r="J10" s="38" t="s">
        <v>198</v>
      </c>
      <c r="K10" s="3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67F0D-670A-4093-901E-6006B23664EB}">
  <sheetPr codeName="Sheet13"/>
  <dimension ref="A1:L13"/>
  <sheetViews>
    <sheetView workbookViewId="0">
      <selection activeCell="K1" sqref="K1:L13"/>
    </sheetView>
  </sheetViews>
  <sheetFormatPr defaultColWidth="8.85546875" defaultRowHeight="15" x14ac:dyDescent="0.25"/>
  <cols>
    <col min="1" max="1" width="23" customWidth="1"/>
    <col min="2" max="2" width="29.42578125" customWidth="1"/>
  </cols>
  <sheetData>
    <row r="1" spans="1:12" ht="100.5" x14ac:dyDescent="0.25">
      <c r="A1" s="18" t="s">
        <v>6</v>
      </c>
      <c r="B1" s="18" t="s">
        <v>19</v>
      </c>
      <c r="C1" s="18" t="s">
        <v>13</v>
      </c>
      <c r="D1" s="27" t="s">
        <v>191</v>
      </c>
      <c r="E1" s="27" t="s">
        <v>258</v>
      </c>
      <c r="F1" s="18" t="s">
        <v>14</v>
      </c>
      <c r="G1" s="18" t="s">
        <v>15</v>
      </c>
      <c r="H1" s="18" t="s">
        <v>16</v>
      </c>
      <c r="I1" s="18" t="s">
        <v>17</v>
      </c>
      <c r="J1" s="18" t="s">
        <v>18</v>
      </c>
      <c r="K1" s="18" t="s">
        <v>21</v>
      </c>
      <c r="L1" s="18" t="s">
        <v>200</v>
      </c>
    </row>
    <row r="2" spans="1:12" ht="28.5" customHeight="1" x14ac:dyDescent="0.25">
      <c r="A2" s="18" t="s">
        <v>104</v>
      </c>
      <c r="B2" s="18" t="s">
        <v>104</v>
      </c>
      <c r="C2" s="18" t="s">
        <v>161</v>
      </c>
      <c r="D2" s="18" t="s">
        <v>161</v>
      </c>
      <c r="E2" s="18" t="s">
        <v>161</v>
      </c>
      <c r="F2" s="18" t="s">
        <v>161</v>
      </c>
      <c r="G2" s="18" t="s">
        <v>161</v>
      </c>
      <c r="H2" s="18" t="s">
        <v>161</v>
      </c>
      <c r="I2" s="18" t="s">
        <v>161</v>
      </c>
      <c r="J2" s="18" t="s">
        <v>161</v>
      </c>
      <c r="K2" s="18" t="s">
        <v>201</v>
      </c>
      <c r="L2" s="30" t="s">
        <v>197</v>
      </c>
    </row>
    <row r="3" spans="1:12" x14ac:dyDescent="0.25">
      <c r="A3" s="27" t="s">
        <v>259</v>
      </c>
      <c r="B3" s="27" t="s">
        <v>274</v>
      </c>
      <c r="C3" s="18">
        <v>140</v>
      </c>
      <c r="D3" s="18"/>
      <c r="E3" s="18"/>
      <c r="F3" s="18">
        <v>105</v>
      </c>
      <c r="G3" s="18">
        <v>141</v>
      </c>
      <c r="H3" s="18">
        <v>390</v>
      </c>
      <c r="I3" s="18">
        <v>150</v>
      </c>
      <c r="J3" s="18">
        <v>1.32</v>
      </c>
      <c r="K3" s="27">
        <v>1</v>
      </c>
      <c r="L3" s="27">
        <v>108</v>
      </c>
    </row>
    <row r="4" spans="1:12" x14ac:dyDescent="0.25">
      <c r="A4" s="27" t="s">
        <v>259</v>
      </c>
      <c r="B4" s="27" t="s">
        <v>260</v>
      </c>
      <c r="C4" s="18">
        <v>185</v>
      </c>
      <c r="D4" s="18"/>
      <c r="E4" s="18"/>
      <c r="F4" s="18">
        <v>109</v>
      </c>
      <c r="G4" s="18">
        <v>135</v>
      </c>
      <c r="H4" s="18">
        <v>375</v>
      </c>
      <c r="I4" s="18">
        <v>140</v>
      </c>
      <c r="J4" s="18">
        <v>1.34</v>
      </c>
      <c r="K4" s="27">
        <v>1</v>
      </c>
      <c r="L4" s="27">
        <v>108</v>
      </c>
    </row>
    <row r="5" spans="1:12" x14ac:dyDescent="0.25">
      <c r="A5" s="27" t="s">
        <v>261</v>
      </c>
      <c r="B5" s="27" t="s">
        <v>262</v>
      </c>
      <c r="C5" s="18">
        <v>285</v>
      </c>
      <c r="D5" s="18"/>
      <c r="E5" s="18"/>
      <c r="F5" s="18">
        <v>126</v>
      </c>
      <c r="G5" s="18">
        <v>178</v>
      </c>
      <c r="H5" s="18">
        <v>390</v>
      </c>
      <c r="I5" s="18">
        <v>140</v>
      </c>
      <c r="J5" s="18">
        <v>1.33</v>
      </c>
      <c r="K5" s="27">
        <v>1</v>
      </c>
      <c r="L5" s="27" t="s">
        <v>198</v>
      </c>
    </row>
    <row r="6" spans="1:12" x14ac:dyDescent="0.25">
      <c r="A6" s="27" t="s">
        <v>263</v>
      </c>
      <c r="B6" s="27" t="s">
        <v>277</v>
      </c>
      <c r="C6" s="18">
        <v>150</v>
      </c>
      <c r="D6" s="29"/>
      <c r="E6" s="18">
        <v>35.5</v>
      </c>
      <c r="F6" s="18">
        <v>95</v>
      </c>
      <c r="G6" s="18">
        <v>113</v>
      </c>
      <c r="H6" s="18" t="s">
        <v>198</v>
      </c>
      <c r="I6" s="18"/>
      <c r="J6" s="18">
        <v>1.27</v>
      </c>
      <c r="K6" s="27">
        <v>1</v>
      </c>
      <c r="L6" s="27">
        <v>106.5</v>
      </c>
    </row>
    <row r="7" spans="1:12" x14ac:dyDescent="0.25">
      <c r="A7" s="27" t="s">
        <v>264</v>
      </c>
      <c r="B7" s="27" t="s">
        <v>275</v>
      </c>
      <c r="C7" s="18">
        <v>160</v>
      </c>
      <c r="D7" s="18"/>
      <c r="E7" s="18"/>
      <c r="F7" s="18">
        <v>100</v>
      </c>
      <c r="G7" s="18">
        <v>130</v>
      </c>
      <c r="H7" s="18" t="s">
        <v>198</v>
      </c>
      <c r="I7" s="18"/>
      <c r="J7" s="18">
        <v>1.3</v>
      </c>
      <c r="K7" s="18"/>
      <c r="L7" s="27" t="s">
        <v>198</v>
      </c>
    </row>
    <row r="8" spans="1:12" ht="35.25" customHeight="1" x14ac:dyDescent="0.25">
      <c r="A8" s="27" t="s">
        <v>265</v>
      </c>
      <c r="B8" s="27" t="s">
        <v>266</v>
      </c>
      <c r="C8" s="18">
        <v>150</v>
      </c>
      <c r="D8" s="18"/>
      <c r="E8" s="18"/>
      <c r="F8" s="18">
        <v>105</v>
      </c>
      <c r="G8" s="18">
        <v>95</v>
      </c>
      <c r="H8" s="29">
        <v>360</v>
      </c>
      <c r="I8" s="18">
        <v>140</v>
      </c>
      <c r="J8" s="18">
        <v>1.27</v>
      </c>
      <c r="K8" s="33" t="s">
        <v>198</v>
      </c>
      <c r="L8" s="27" t="s">
        <v>198</v>
      </c>
    </row>
    <row r="9" spans="1:12" x14ac:dyDescent="0.25">
      <c r="A9" s="27" t="s">
        <v>265</v>
      </c>
      <c r="B9" s="27" t="s">
        <v>276</v>
      </c>
      <c r="C9" s="18">
        <v>182</v>
      </c>
      <c r="D9" s="18"/>
      <c r="E9" s="18"/>
      <c r="F9" s="18">
        <v>105</v>
      </c>
      <c r="G9" s="18">
        <v>134</v>
      </c>
      <c r="H9" s="18">
        <v>360</v>
      </c>
      <c r="I9" s="18">
        <v>140</v>
      </c>
      <c r="J9" s="18">
        <v>1.27</v>
      </c>
      <c r="K9" s="18"/>
      <c r="L9" s="27" t="s">
        <v>198</v>
      </c>
    </row>
    <row r="10" spans="1:12" x14ac:dyDescent="0.25">
      <c r="A10" s="27" t="s">
        <v>267</v>
      </c>
      <c r="B10" s="27" t="s">
        <v>268</v>
      </c>
      <c r="C10" s="18">
        <v>150</v>
      </c>
      <c r="D10" s="18"/>
      <c r="E10" s="18"/>
      <c r="F10" s="18">
        <v>39.1</v>
      </c>
      <c r="G10" s="18">
        <v>85.9</v>
      </c>
      <c r="H10" s="18">
        <v>370</v>
      </c>
      <c r="I10" s="18">
        <v>150</v>
      </c>
      <c r="J10" s="18">
        <v>1.27</v>
      </c>
      <c r="K10" s="33" t="s">
        <v>198</v>
      </c>
      <c r="L10" s="27" t="s">
        <v>198</v>
      </c>
    </row>
    <row r="11" spans="1:12" x14ac:dyDescent="0.25">
      <c r="A11" s="27" t="s">
        <v>269</v>
      </c>
      <c r="B11" s="27" t="s">
        <v>270</v>
      </c>
      <c r="C11" s="18"/>
      <c r="D11" s="27">
        <v>5</v>
      </c>
      <c r="E11" s="27"/>
      <c r="F11" s="18">
        <v>105</v>
      </c>
      <c r="G11" s="18">
        <v>130</v>
      </c>
      <c r="H11" s="18">
        <v>420</v>
      </c>
      <c r="I11" s="18">
        <v>100</v>
      </c>
      <c r="J11" s="18"/>
      <c r="K11" s="33" t="s">
        <v>198</v>
      </c>
      <c r="L11" s="27" t="s">
        <v>198</v>
      </c>
    </row>
    <row r="12" spans="1:12" x14ac:dyDescent="0.25">
      <c r="A12" s="27" t="s">
        <v>271</v>
      </c>
      <c r="B12" s="27" t="s">
        <v>272</v>
      </c>
      <c r="C12" s="18">
        <v>265</v>
      </c>
      <c r="D12" s="18"/>
      <c r="E12" s="18"/>
      <c r="F12" s="18">
        <v>105</v>
      </c>
      <c r="G12" s="18">
        <v>136</v>
      </c>
      <c r="H12" s="18">
        <v>400</v>
      </c>
      <c r="I12" s="18">
        <v>140</v>
      </c>
      <c r="J12" s="18">
        <v>1.39</v>
      </c>
      <c r="K12" s="33" t="s">
        <v>198</v>
      </c>
      <c r="L12" s="27" t="s">
        <v>198</v>
      </c>
    </row>
    <row r="13" spans="1:12" x14ac:dyDescent="0.25">
      <c r="A13" s="27" t="s">
        <v>271</v>
      </c>
      <c r="B13" s="27" t="s">
        <v>273</v>
      </c>
      <c r="C13" s="18">
        <v>305</v>
      </c>
      <c r="D13" s="18"/>
      <c r="E13" s="18"/>
      <c r="F13" s="18">
        <v>126</v>
      </c>
      <c r="G13" s="18">
        <v>145</v>
      </c>
      <c r="H13" s="18">
        <v>420</v>
      </c>
      <c r="I13" s="18">
        <v>140</v>
      </c>
      <c r="J13" s="18">
        <v>1.39</v>
      </c>
      <c r="K13" s="27">
        <v>1</v>
      </c>
      <c r="L13" s="27">
        <v>106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A2054-6DEF-4E33-BDB7-1604AC439994}">
  <sheetPr codeName="Sheet14"/>
  <dimension ref="A1:K13"/>
  <sheetViews>
    <sheetView workbookViewId="0">
      <selection activeCell="M3" sqref="M3"/>
    </sheetView>
  </sheetViews>
  <sheetFormatPr defaultColWidth="8.85546875" defaultRowHeight="15" x14ac:dyDescent="0.25"/>
  <sheetData>
    <row r="1" spans="1:11" ht="72.75" thickBot="1" x14ac:dyDescent="0.3">
      <c r="A1" s="3" t="s">
        <v>6</v>
      </c>
      <c r="B1" s="3" t="s">
        <v>278</v>
      </c>
      <c r="C1" s="3" t="s">
        <v>279</v>
      </c>
      <c r="D1" s="3" t="s">
        <v>23</v>
      </c>
      <c r="E1" s="3" t="s">
        <v>24</v>
      </c>
      <c r="F1" s="22" t="s">
        <v>24</v>
      </c>
      <c r="G1" s="3" t="s">
        <v>25</v>
      </c>
      <c r="H1" s="3" t="s">
        <v>280</v>
      </c>
      <c r="I1" s="21" t="s">
        <v>281</v>
      </c>
      <c r="J1" s="18" t="s">
        <v>21</v>
      </c>
      <c r="K1" s="18" t="s">
        <v>200</v>
      </c>
    </row>
    <row r="2" spans="1:11" ht="30" customHeight="1" thickTop="1" thickBot="1" x14ac:dyDescent="0.3">
      <c r="A2" s="3" t="s">
        <v>104</v>
      </c>
      <c r="B2" s="3" t="s">
        <v>104</v>
      </c>
      <c r="C2" s="3" t="s">
        <v>161</v>
      </c>
      <c r="D2" s="3" t="s">
        <v>161</v>
      </c>
      <c r="E2" s="3" t="s">
        <v>161</v>
      </c>
      <c r="F2" s="3" t="s">
        <v>161</v>
      </c>
      <c r="G2" s="3" t="s">
        <v>161</v>
      </c>
      <c r="H2" s="3" t="s">
        <v>161</v>
      </c>
      <c r="I2" s="2" t="s">
        <v>104</v>
      </c>
      <c r="J2" s="18" t="s">
        <v>201</v>
      </c>
      <c r="K2" s="30" t="s">
        <v>197</v>
      </c>
    </row>
    <row r="3" spans="1:11" ht="59.25" thickTop="1" thickBot="1" x14ac:dyDescent="0.3">
      <c r="A3" s="2" t="s">
        <v>282</v>
      </c>
      <c r="B3" s="2" t="s">
        <v>292</v>
      </c>
      <c r="C3" s="2">
        <v>275.5</v>
      </c>
      <c r="D3" s="2">
        <v>15</v>
      </c>
      <c r="E3" s="2">
        <v>67</v>
      </c>
      <c r="F3" s="2">
        <v>67</v>
      </c>
      <c r="G3" s="2">
        <v>139</v>
      </c>
      <c r="H3" s="2">
        <v>1.78</v>
      </c>
      <c r="I3" s="2" t="s">
        <v>37</v>
      </c>
      <c r="J3" s="27"/>
      <c r="K3" s="27"/>
    </row>
    <row r="4" spans="1:11" ht="59.25" thickTop="1" thickBot="1" x14ac:dyDescent="0.3">
      <c r="A4" s="2" t="s">
        <v>283</v>
      </c>
      <c r="B4" s="2" t="s">
        <v>291</v>
      </c>
      <c r="C4" s="2">
        <v>250</v>
      </c>
      <c r="D4" s="2">
        <v>10</v>
      </c>
      <c r="E4" s="2">
        <v>51</v>
      </c>
      <c r="F4" s="2">
        <v>51</v>
      </c>
      <c r="G4" s="2">
        <v>83</v>
      </c>
      <c r="H4" s="2">
        <v>1.1499999999999999</v>
      </c>
      <c r="I4" s="2" t="s">
        <v>44</v>
      </c>
      <c r="J4" s="27"/>
      <c r="K4" s="27"/>
    </row>
    <row r="5" spans="1:11" ht="45" thickTop="1" thickBot="1" x14ac:dyDescent="0.3">
      <c r="A5" s="2" t="s">
        <v>284</v>
      </c>
      <c r="B5" s="2" t="s">
        <v>285</v>
      </c>
      <c r="C5" s="2">
        <v>50</v>
      </c>
      <c r="D5" s="2">
        <v>25</v>
      </c>
      <c r="E5" s="2">
        <v>50</v>
      </c>
      <c r="F5" s="2">
        <v>50</v>
      </c>
      <c r="G5" s="2">
        <v>69</v>
      </c>
      <c r="H5" s="2">
        <v>1.1200000000000001</v>
      </c>
      <c r="I5" s="2" t="s">
        <v>50</v>
      </c>
      <c r="J5" s="27"/>
      <c r="K5" s="27"/>
    </row>
    <row r="6" spans="1:11" ht="45" thickTop="1" thickBot="1" x14ac:dyDescent="0.3">
      <c r="A6" s="2" t="s">
        <v>286</v>
      </c>
      <c r="B6" s="2" t="s">
        <v>290</v>
      </c>
      <c r="C6" s="2" t="s">
        <v>198</v>
      </c>
      <c r="D6" s="2" t="s">
        <v>198</v>
      </c>
      <c r="E6" s="2">
        <v>5.5</v>
      </c>
      <c r="F6" s="2">
        <v>5.5</v>
      </c>
      <c r="G6" s="2" t="s">
        <v>198</v>
      </c>
      <c r="H6" s="2">
        <v>1.0680000000000001</v>
      </c>
      <c r="I6" s="2" t="s">
        <v>53</v>
      </c>
      <c r="J6" s="27"/>
      <c r="K6" s="27"/>
    </row>
    <row r="7" spans="1:11" ht="59.25" thickTop="1" thickBot="1" x14ac:dyDescent="0.3">
      <c r="A7" s="2" t="s">
        <v>286</v>
      </c>
      <c r="B7" s="2" t="s">
        <v>289</v>
      </c>
      <c r="C7" s="2">
        <v>80</v>
      </c>
      <c r="D7" s="2">
        <v>54</v>
      </c>
      <c r="E7" s="2">
        <v>60</v>
      </c>
      <c r="F7" s="2">
        <v>60</v>
      </c>
      <c r="G7" s="2">
        <v>81</v>
      </c>
      <c r="H7" s="2"/>
      <c r="I7" s="2" t="s">
        <v>58</v>
      </c>
      <c r="J7" s="18"/>
      <c r="K7" s="27"/>
    </row>
    <row r="8" spans="1:11" ht="45" thickTop="1" thickBot="1" x14ac:dyDescent="0.3">
      <c r="A8" s="2" t="s">
        <v>287</v>
      </c>
      <c r="B8" s="2" t="s">
        <v>288</v>
      </c>
      <c r="C8" s="2">
        <v>200</v>
      </c>
      <c r="D8" s="2">
        <v>18.5</v>
      </c>
      <c r="E8" s="2">
        <v>74</v>
      </c>
      <c r="F8" s="2">
        <v>74</v>
      </c>
      <c r="G8" s="2">
        <v>133</v>
      </c>
      <c r="H8" s="2">
        <v>1.61</v>
      </c>
      <c r="I8" s="2" t="s">
        <v>63</v>
      </c>
      <c r="J8" s="33"/>
      <c r="K8" s="27"/>
    </row>
    <row r="9" spans="1:11" ht="15.75" thickTop="1" x14ac:dyDescent="0.25">
      <c r="J9" s="18"/>
      <c r="K9" s="27"/>
    </row>
    <row r="10" spans="1:11" x14ac:dyDescent="0.25">
      <c r="J10" s="33"/>
      <c r="K10" s="27"/>
    </row>
    <row r="11" spans="1:11" x14ac:dyDescent="0.25">
      <c r="J11" s="33"/>
      <c r="K11" s="27"/>
    </row>
    <row r="12" spans="1:11" x14ac:dyDescent="0.25">
      <c r="J12" s="33"/>
      <c r="K12" s="27"/>
    </row>
    <row r="13" spans="1:11" x14ac:dyDescent="0.25">
      <c r="J13" s="27"/>
      <c r="K13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primary_cubesat_structures</vt:lpstr>
      <vt:lpstr>actuators</vt:lpstr>
      <vt:lpstr>deployable_booms</vt:lpstr>
      <vt:lpstr>robotic_arms</vt:lpstr>
      <vt:lpstr>polylactic_acid_filaments</vt:lpstr>
      <vt:lpstr>abs_filaments</vt:lpstr>
      <vt:lpstr>nylon_filaments</vt:lpstr>
      <vt:lpstr>polycarbonate_filaments</vt:lpstr>
      <vt:lpstr>crp_windform</vt:lpstr>
      <vt:lpstr>pei_filaments</vt:lpstr>
      <vt:lpstr>paek_filaments</vt:lpstr>
      <vt:lpstr>photopolymers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Aiden Powell</cp:lastModifiedBy>
  <cp:revision/>
  <dcterms:created xsi:type="dcterms:W3CDTF">2025-06-16T19:18:26Z</dcterms:created>
  <dcterms:modified xsi:type="dcterms:W3CDTF">2025-08-13T19:12:36Z</dcterms:modified>
  <cp:category/>
  <cp:contentStatus/>
</cp:coreProperties>
</file>