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wel\PycharmProjects\cubesat_component_matcher\complete_backend_solution\tests\component_data_TEST\avionics\"/>
    </mc:Choice>
  </mc:AlternateContent>
  <xr:revisionPtr revIDLastSave="0" documentId="13_ncr:1_{22952D51-5112-4797-8AD6-BC4CB32B1D85}" xr6:coauthVersionLast="47" xr6:coauthVersionMax="47" xr10:uidLastSave="{00000000-0000-0000-0000-000000000000}"/>
  <bookViews>
    <workbookView xWindow="-120" yWindow="-120" windowWidth="29040" windowHeight="15840" tabRatio="496" xr2:uid="{00000000-000D-0000-FFFF-FFFF00000000}"/>
  </bookViews>
  <sheets>
    <sheet name="onboard_computing_system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2" l="1"/>
  <c r="J6" i="2"/>
</calcChain>
</file>

<file path=xl/sharedStrings.xml><?xml version="1.0" encoding="utf-8"?>
<sst xmlns="http://schemas.openxmlformats.org/spreadsheetml/2006/main" count="494" uniqueCount="272">
  <si>
    <t>Product</t>
  </si>
  <si>
    <t>Power Consumption (W)</t>
  </si>
  <si>
    <t>Orbits Flown</t>
  </si>
  <si>
    <t>Kryten-M3</t>
  </si>
  <si>
    <t>Smart Fusion 2 SoC including an ARM Cortex-M3 processor delivering 62.5 DMIPS</t>
  </si>
  <si>
    <t>LEO</t>
  </si>
  <si>
    <t>Sirius OBC &amp; TCM</t>
  </si>
  <si>
    <t>32-bit LEON3FT (IEEE-1754 SPARC v8) fault-tolerant processor</t>
  </si>
  <si>
    <t>LEO, lunar lander</t>
  </si>
  <si>
    <t>DARA OBC</t>
  </si>
  <si>
    <t>ARM 32-bit Cortex-M7 with FPU</t>
  </si>
  <si>
    <r>
      <t xml:space="preserve">TRISKEL </t>
    </r>
    <r>
      <rPr>
        <sz val="10"/>
        <color rgb="FF000000"/>
        <rFont val="Arial"/>
        <family val="2"/>
      </rPr>
      <t>OBC+TTC</t>
    </r>
  </si>
  <si>
    <t>SP0-S</t>
  </si>
  <si>
    <t>Power PC 1020, Alcatel RTAX</t>
  </si>
  <si>
    <t>SP1-S</t>
  </si>
  <si>
    <t>64-bit Arm® Cortex®-A72 cores @ 1.8 GHz</t>
  </si>
  <si>
    <t>S-A1760</t>
  </si>
  <si>
    <t>S-C8780</t>
  </si>
  <si>
    <t>Intel® Pentium-D or Xeon-D, discrete 2D GPU, Xilinx UltraScale+ FPGA w/Dual-core ARM® CPU</t>
  </si>
  <si>
    <t>S-C8500</t>
  </si>
  <si>
    <t>Intel® Tiger Lake UP3 SoC, 4 cores/8 threads, integrated GPGPU with 96 Execution Units, Xilinx UltraScale+ FPGA w/Dual-Core ARM® CPU is Optional</t>
  </si>
  <si>
    <t> OBC</t>
  </si>
  <si>
    <t>Andes OBC</t>
  </si>
  <si>
    <t>OBC FERMI</t>
  </si>
  <si>
    <t>Rad-hard</t>
  </si>
  <si>
    <t>Deep Space, Lunar Orbit, LEO</t>
  </si>
  <si>
    <t>CDH-110</t>
  </si>
  <si>
    <t> STM32F103</t>
  </si>
  <si>
    <t> LEO</t>
  </si>
  <si>
    <t>Stellar OBC + PDHS</t>
  </si>
  <si>
    <t>OBC</t>
  </si>
  <si>
    <t>32-bit ARM Cortex-M7</t>
  </si>
  <si>
    <t>Continuous integrity check on the program memory, multi-level watchdog system, MRAM storage</t>
  </si>
  <si>
    <t>SBC-1461</t>
  </si>
  <si>
    <t>1.4 GHz ARM Cortex</t>
  </si>
  <si>
    <t>Rad Tolerant</t>
  </si>
  <si>
    <t>RDP-23FV</t>
  </si>
  <si>
    <t>Xilinx Versal</t>
  </si>
  <si>
    <t>Rad Tolerant to Rad Hard</t>
  </si>
  <si>
    <t>ARM Cortex M7</t>
  </si>
  <si>
    <t>Payload Controller</t>
  </si>
  <si>
    <t>Xilinx UltraScale+ SoC</t>
  </si>
  <si>
    <t>NanoMind HP MK3</t>
  </si>
  <si>
    <t>Xilinx Zynq 7030/7045</t>
  </si>
  <si>
    <t>EDGE-1100 (3U SpaceVPX)</t>
  </si>
  <si>
    <t>AMD Ryzen SOC</t>
  </si>
  <si>
    <t>EDGE-1100 Genie</t>
  </si>
  <si>
    <t>Core-250</t>
  </si>
  <si>
    <t>High Performance Space Computer Processor (HPSC), 8 x RISC-V cores, 3U SpaceVPX</t>
  </si>
  <si>
    <t>CFC-400XS</t>
  </si>
  <si>
    <t>Defense Grade Xilinx UltraScale+ MPSoC</t>
  </si>
  <si>
    <t>CFC-400XP</t>
  </si>
  <si>
    <t>CFC-510P</t>
  </si>
  <si>
    <t>AMD Ryzen GPGPU</t>
  </si>
  <si>
    <t>Antelope OBC and DPU</t>
  </si>
  <si>
    <t>Leopard DPU</t>
  </si>
  <si>
    <t>AMD Xilinx Zynq UltraScale+ MPSoC (ZU6EG, ZU9EG, ZU15EG); Quad ARM Cortex-A53 CPU; Dual ARM Cortex-R5 in lock-step</t>
  </si>
  <si>
    <t>Lion DPU</t>
  </si>
  <si>
    <t>AMD Xilinx Kintex Ultrascale FPGA (KU035, KU060, KU095)</t>
  </si>
  <si>
    <t>LASP Generic Small-sat FPGA Board</t>
  </si>
  <si>
    <t>Kintex-7</t>
  </si>
  <si>
    <t>MAS-SBC-107</t>
  </si>
  <si>
    <t>Arm® Cortex®-M7</t>
  </si>
  <si>
    <t>NSTOBC</t>
  </si>
  <si>
    <t>Atmel ARM 9 based Microprocessor Unit</t>
  </si>
  <si>
    <t>Gen 2 OBC</t>
  </si>
  <si>
    <t>SBC002AV</t>
  </si>
  <si>
    <t>Zynq Ultrascale+</t>
  </si>
  <si>
    <t>SBC003AV</t>
  </si>
  <si>
    <t>SmartFusion2</t>
  </si>
  <si>
    <t>SBC004AF</t>
  </si>
  <si>
    <t>Versal ACAP</t>
  </si>
  <si>
    <t>SBC005AF</t>
  </si>
  <si>
    <t>Polarfire</t>
  </si>
  <si>
    <t>GPU001AF</t>
  </si>
  <si>
    <t>Jetson TX2i</t>
  </si>
  <si>
    <t>GPU002AF</t>
  </si>
  <si>
    <t>Jetson Orin Nano</t>
  </si>
  <si>
    <t>PPM A1</t>
  </si>
  <si>
    <t>MCU+DSP</t>
  </si>
  <si>
    <t>PPM A2</t>
  </si>
  <si>
    <t>PPM A3</t>
  </si>
  <si>
    <t>PPM B1</t>
  </si>
  <si>
    <t>PPM D1</t>
  </si>
  <si>
    <t>MCU</t>
  </si>
  <si>
    <t>PPM D2</t>
  </si>
  <si>
    <t>PPM E1</t>
  </si>
  <si>
    <t>MBM2 w/BBB</t>
  </si>
  <si>
    <t>Manufacturer</t>
  </si>
  <si>
    <t>Headquarters</t>
  </si>
  <si>
    <t>Total Ionizing Dose (krad)</t>
  </si>
  <si>
    <t>Board Dimensions (cm)</t>
  </si>
  <si>
    <t>string</t>
  </si>
  <si>
    <t>number</t>
  </si>
  <si>
    <t>tuple</t>
  </si>
  <si>
    <t xml:space="preserve">AAC Clyde Space </t>
  </si>
  <si>
    <t>Sweden</t>
  </si>
  <si>
    <t>9.589, 9.017, 0.551</t>
  </si>
  <si>
    <t>AAC Clyde Space</t>
  </si>
  <si>
    <t>9.589, 9.017, 1.720</t>
  </si>
  <si>
    <t xml:space="preserve">Alén Space </t>
  </si>
  <si>
    <t>Spain</t>
  </si>
  <si>
    <t>8.93, 9.33, 1.2</t>
  </si>
  <si>
    <t xml:space="preserve">Aitech Systems Inc. </t>
  </si>
  <si>
    <t>USA</t>
  </si>
  <si>
    <t>10.06, 16, 20.3</t>
  </si>
  <si>
    <t>LEO, MEO, GEO, Lunar, Deep Space</t>
  </si>
  <si>
    <t xml:space="preserve"> </t>
  </si>
  <si>
    <t>&lt; 1 type 2 SEFI update in 158 days (without enclosure)</t>
  </si>
  <si>
    <t>12.7 , 12.7, 5.2</t>
  </si>
  <si>
    <t>10.06 , 16, 20.3</t>
  </si>
  <si>
    <t xml:space="preserve">Aerospacelab </t>
  </si>
  <si>
    <t>Belgium</t>
  </si>
  <si>
    <t>Andes Aerospace</t>
  </si>
  <si>
    <t>Chile</t>
  </si>
  <si>
    <t>OBC+MRAM+NAND full cold redundancy</t>
  </si>
  <si>
    <t>10, 10, 1.4</t>
  </si>
  <si>
    <t xml:space="preserve">Argotec </t>
  </si>
  <si>
    <t>Italy</t>
  </si>
  <si>
    <t>10.24, 10, 4.49</t>
  </si>
  <si>
    <t xml:space="preserve">Berlin Space Technologies GmbH </t>
  </si>
  <si>
    <t>Germany</t>
  </si>
  <si>
    <t>17.6, 9.4, 6.9</t>
  </si>
  <si>
    <t xml:space="preserve">Bradford Space </t>
  </si>
  <si>
    <t>Netherlands</t>
  </si>
  <si>
    <t>13.3, 11.5</t>
  </si>
  <si>
    <t xml:space="preserve">C3S Electronics Development LLC </t>
  </si>
  <si>
    <t>Hungary</t>
  </si>
  <si>
    <t xml:space="preserve">CesiumAstro </t>
  </si>
  <si>
    <t>5, 8.4, 1.3</t>
  </si>
  <si>
    <t>16, 10, 2.54</t>
  </si>
  <si>
    <t xml:space="preserve">EnduroSat </t>
  </si>
  <si>
    <t>Bulgaria</t>
  </si>
  <si>
    <t>8.9, 9.4, 2.3</t>
  </si>
  <si>
    <t>SSO</t>
  </si>
  <si>
    <t>9.8, 10, 6.4</t>
  </si>
  <si>
    <t xml:space="preserve">GomSpace </t>
  </si>
  <si>
    <t>Denmark</t>
  </si>
  <si>
    <t>9.5, 9.5, 3.15</t>
  </si>
  <si>
    <t>Ibeos</t>
  </si>
  <si>
    <t>16, 10, 2.5</t>
  </si>
  <si>
    <t>LEO, GEO</t>
  </si>
  <si>
    <t>14.8,  10.8,  3.4</t>
  </si>
  <si>
    <t>16,  10,  2.5</t>
  </si>
  <si>
    <t xml:space="preserve">Innoflight </t>
  </si>
  <si>
    <t>8.2, 8.2, 2.7</t>
  </si>
  <si>
    <t>17.2, 10, 2.5</t>
  </si>
  <si>
    <t xml:space="preserve">KP Labs </t>
  </si>
  <si>
    <t>Poland</t>
  </si>
  <si>
    <t>9, 9.5, 6.4</t>
  </si>
  <si>
    <t>16, 10, 5</t>
  </si>
  <si>
    <t>Laboratory for Atmospheric and Space Physics</t>
  </si>
  <si>
    <t>8.763, 8.763</t>
  </si>
  <si>
    <t>Micro Aerospace Solutions</t>
  </si>
  <si>
    <t>9, 9.6</t>
  </si>
  <si>
    <t>Nara Space Technology</t>
  </si>
  <si>
    <t>South Korea</t>
  </si>
  <si>
    <t>9, 9, 1.6</t>
  </si>
  <si>
    <t>NOVI LLC</t>
  </si>
  <si>
    <t>9.3, 9.3, 2.5</t>
  </si>
  <si>
    <t>Novo Space</t>
  </si>
  <si>
    <t>16, 10</t>
  </si>
  <si>
    <t>8.7, 5</t>
  </si>
  <si>
    <t>Pumpkin Space Systems</t>
  </si>
  <si>
    <t>90, 96</t>
  </si>
  <si>
    <t>CesiumAstro</t>
  </si>
  <si>
    <t>Pascal™ Architecture GPU w/256 CUDA® cores, NVIDIA Denver 2 Dual-Core ARM® CPU + Cortex® A57 Quad-Core ARM® CPU</t>
  </si>
  <si>
    <t>SEE resilience (MeV)</t>
  </si>
  <si>
    <t>LET (MeV-cm2/mg)</t>
  </si>
  <si>
    <t>Australia</t>
  </si>
  <si>
    <t>Czech Republic</t>
  </si>
  <si>
    <t>Canada</t>
  </si>
  <si>
    <t>Ramon Space</t>
  </si>
  <si>
    <t>Resilient Computing</t>
  </si>
  <si>
    <t>Sierra Space</t>
  </si>
  <si>
    <t>SkyLabs</t>
  </si>
  <si>
    <t>Space Dynamics Laboratory</t>
  </si>
  <si>
    <t>Spiral Blue</t>
  </si>
  <si>
    <t>Southwest Research Institute® (SwRI®)</t>
  </si>
  <si>
    <t>SPiN</t>
  </si>
  <si>
    <t>Spacemanic</t>
  </si>
  <si>
    <t>TelePIX Co., Ltd.</t>
  </si>
  <si>
    <t>Trident Space Electronic Systems</t>
  </si>
  <si>
    <t>Unibap</t>
  </si>
  <si>
    <t>Xiphos</t>
  </si>
  <si>
    <t>NuPod</t>
  </si>
  <si>
    <t>RadPC-SBC-001</t>
  </si>
  <si>
    <t>UMCD</t>
  </si>
  <si>
    <t>NANOhpc-obc</t>
  </si>
  <si>
    <t>NANOhpm-obc</t>
  </si>
  <si>
    <t>NANOobc-2</t>
  </si>
  <si>
    <t>SDL-25</t>
  </si>
  <si>
    <t>LEON 4</t>
  </si>
  <si>
    <t>MA61C CubeSat</t>
  </si>
  <si>
    <t>MA61C smallsat</t>
  </si>
  <si>
    <t>MA61C cPCI serial space</t>
  </si>
  <si>
    <t>Space Edge One</t>
  </si>
  <si>
    <t>Centaur SBC</t>
  </si>
  <si>
    <t>HP-SBC</t>
  </si>
  <si>
    <t>DeepThought</t>
  </si>
  <si>
    <t>Eddie</t>
  </si>
  <si>
    <t>TetraPLEX OBP</t>
  </si>
  <si>
    <t>VDRT</t>
  </si>
  <si>
    <t>UDRT</t>
  </si>
  <si>
    <t>iX10-100A</t>
  </si>
  <si>
    <t>iX5-106</t>
  </si>
  <si>
    <t>Q7S</t>
  </si>
  <si>
    <t>Q8S</t>
  </si>
  <si>
    <t>Q8Js</t>
  </si>
  <si>
    <t>Space Grade Xilinx Versal ACAP, Cortex A72 4x / 16x Core ARM</t>
  </si>
  <si>
    <t>RISC-V 32-Bit (AMD Artix 7)</t>
  </si>
  <si>
    <t> Microchip RTSX72</t>
  </si>
  <si>
    <t>4x RISC-V 64-bit / PolarFire / SoC</t>
  </si>
  <si>
    <t>32-bit RISC-V core / PolarFire</t>
  </si>
  <si>
    <t>PicoSkyFT / IGLOO 2</t>
  </si>
  <si>
    <t>UT700 LEON3-FT + RT3P FPGA</t>
  </si>
  <si>
    <t>GR740 LEON4 + RTG4</t>
  </si>
  <si>
    <t>GR712RC dual-core 32-bit LEON3 fault-tolerant, SPARC V8 processor</t>
  </si>
  <si>
    <t>Nvidia Jetson Xavier NX</t>
  </si>
  <si>
    <t>GR712RC dual core LEON3-FT CPU, Xilinx Ultrascale or Microchip RT-ProAsic or RTG4 FPGA</t>
  </si>
  <si>
    <t>PowerPC based MPC8548e CPU, Microsemi RT-ProASIC FPGA, Optional: Microsemi RTG4 FPGA, Optional: Xilinx Ultrascale FPGA</t>
  </si>
  <si>
    <t> SAMV71</t>
  </si>
  <si>
    <t>MSP430</t>
  </si>
  <si>
    <t>Microchip PolarFire® SoC (MPFS250T), 64-bit RV64GC Quad Application processing cores (667 MHz), 64-bit RV64IMAC monitor processor core (667 MHz). NVIDIA® Jetson ORIN NX 16GB System-on-Module, 64-bit Cortex A78AE Armv8.2 (Eight-core) with Ampere GPU (1024 NVIDIA® CUDA® cores 32 Tensor cores)</t>
  </si>
  <si>
    <t>Versal VC1902</t>
  </si>
  <si>
    <t>MPSoC ZU19</t>
  </si>
  <si>
    <t>AMD Ryzen V1000 (CPU and GPU), Intel Myriad-X (VPU)</t>
  </si>
  <si>
    <t>AMD Steppe Eagle (CPU and GPU), Intel Myriad-X (VPU), Microchip SmartFusion2 (FPGA)</t>
  </si>
  <si>
    <t>AMD-Xilinx Zynq-7020 Dual-core ARM Cortex-A9</t>
  </si>
  <si>
    <t>AMD-Xilinx Zynq Ultrascale+ MPSOC Quad-core ARM Cortex-A53</t>
  </si>
  <si>
    <t>28.7, 21.5, 7.5</t>
  </si>
  <si>
    <t>10, 10</t>
  </si>
  <si>
    <t>11.4, 11.4, 4.4</t>
  </si>
  <si>
    <t>9.5, 9.1, 1.3</t>
  </si>
  <si>
    <t>9.5, 9.1, 1.1</t>
  </si>
  <si>
    <t>13, 9</t>
  </si>
  <si>
    <t>9.599, 9.027</t>
  </si>
  <si>
    <t>10.5, 10.5</t>
  </si>
  <si>
    <t>100, 160, 1.6</t>
  </si>
  <si>
    <t xml:space="preserve"> 233.35, 160, 1.6</t>
  </si>
  <si>
    <t>6.7, 4.2, 0.7</t>
  </si>
  <si>
    <t>10, 10, 10</t>
  </si>
  <si>
    <t>10, 14.6, 2.54</t>
  </si>
  <si>
    <t>10, 10, 5.0</t>
  </si>
  <si>
    <t>10, 10, 6.0</t>
  </si>
  <si>
    <t>7.8, 4.3, 0.9</t>
  </si>
  <si>
    <t>8, 8, 1.12</t>
  </si>
  <si>
    <t>LEO, Lunar</t>
  </si>
  <si>
    <t>LEO, MEO</t>
  </si>
  <si>
    <t>LEO, SSO</t>
  </si>
  <si>
    <t>Antelope DPU</t>
  </si>
  <si>
    <t>90, 94</t>
  </si>
  <si>
    <t>70, 74</t>
  </si>
  <si>
    <t>Automotive parts with Rad-tolerant in high criticality parts; rich telemetry with local event response; board sectorization and power control; ECC in Volatile memories; CRC / Reed-Solomon / Interleaving in Non-Volatile memories; CRC / Reed-Solomon / Interleaving in Non-Volatile memories; FPGA and fabric use selective TRM on critical functionality; Scrubbing on soft FPGAs.</t>
  </si>
  <si>
    <t>Radiation hardened supervisor MCU. Radiation hardened watchdog</t>
  </si>
  <si>
    <t>Dual-Core LEON3FT SPARC. V8 Processor with fault-tolerant memory controller +Microchip RTG4</t>
  </si>
  <si>
    <t xml:space="preserve">Dual Polarfire SoC. </t>
  </si>
  <si>
    <t>Functional SEE resilience through SW EDAC and internal cold redundancy</t>
  </si>
  <si>
    <t xml:space="preserve">2x ARM 32-bit Cortex-M7 with FPU @ up to 550MHz </t>
  </si>
  <si>
    <t>Xilinx Zynq-7045, ARM dual-core Cortex A9 running at 667MHz, Kintex-7 FPGA with 350k Programmable Logic Cells, 218,600 Look-up tables (LUT) and 437,200 flip-flops (FF), Linux and FreeRTOS compatible</t>
  </si>
  <si>
    <t>RM57 Herkules microcontroller (Dual 300 MHz ARM Cortex-R5F with FPU in lock-step)</t>
  </si>
  <si>
    <t xml:space="preserve">COTS with SEE mitigation </t>
  </si>
  <si>
    <t>AMD Xilinx Zynq UltraScale+ MPSoC (ZU2EG, ZU3EG, ZU4EG, ZU5EG), Quad ARM Cortex-A53 CPU, Dual ARM Cortex-R5 in lock-step</t>
  </si>
  <si>
    <t>Radiation-hardened Vorago ARM MCU, SEL immune Xilinx processor, optional radiation-hardened memory, built in SEU/SEFI mitigation, ECC protected memory interfaces, redundant storage for boot images.</t>
  </si>
  <si>
    <t xml:space="preserve">AMD/Xilinx Versal (AI Edge Series): Dual-core ARM® Cortex®-A72, Dual-core ARM® Cortex®-R5F, Programmable Logic (FPGA), AI Engines. Vorago ARM MCU: Low-power ARM® Cortex®-M4, Embedded rad-hard FRAM </t>
  </si>
  <si>
    <t>COTS w/ SEE mitigation</t>
  </si>
  <si>
    <t>SEU: &lt; 1 error per 24-hour period</t>
  </si>
  <si>
    <t>Notes - Processor/ SoC/ FPGA</t>
  </si>
  <si>
    <t>Notes - Radiation Hardness Assurance</t>
  </si>
  <si>
    <t>0.92, 0.895, 0.136</t>
  </si>
  <si>
    <t xml:space="preserve">0.187, 0.0841, 0.1166 </t>
  </si>
  <si>
    <t>Radiation Tolerant COTS with SEE 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</si>
</sst>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color rgb="FF000000"/>
      <name val="Arial"/>
    </font>
    <font>
      <sz val="11"/>
      <color rgb="FF242424"/>
      <name val="Aptos Narrow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readingOrder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readingOrder="1"/>
    </xf>
    <xf numFmtId="0" fontId="8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readingOrder="1"/>
    </xf>
    <xf numFmtId="0" fontId="3" fillId="0" borderId="1" xfId="0" applyFont="1" applyBorder="1" applyAlignment="1">
      <alignment readingOrder="1"/>
    </xf>
    <xf numFmtId="0" fontId="4" fillId="0" borderId="1" xfId="0" applyFont="1" applyBorder="1" applyAlignment="1">
      <alignment readingOrder="1"/>
    </xf>
    <xf numFmtId="0" fontId="4" fillId="0" borderId="1" xfId="0" applyFont="1" applyBorder="1" applyAlignment="1">
      <alignment wrapText="1" readingOrder="1"/>
    </xf>
    <xf numFmtId="0" fontId="4" fillId="0" borderId="1" xfId="0" applyFont="1" applyBorder="1" applyAlignment="1">
      <alignment horizontal="center" wrapText="1" readingOrder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horizontal="center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center" wrapText="1" readingOrder="1"/>
    </xf>
    <xf numFmtId="0" fontId="6" fillId="0" borderId="1" xfId="0" applyFont="1" applyBorder="1" applyAlignment="1">
      <alignment wrapText="1" readingOrder="1"/>
    </xf>
    <xf numFmtId="0" fontId="3" fillId="0" borderId="1" xfId="0" applyFont="1" applyBorder="1" applyAlignment="1">
      <alignment horizontal="center" wrapText="1" readingOrder="1"/>
    </xf>
    <xf numFmtId="0" fontId="4" fillId="3" borderId="1" xfId="0" applyFont="1" applyFill="1" applyBorder="1" applyAlignment="1">
      <alignment readingOrder="1"/>
    </xf>
    <xf numFmtId="0" fontId="4" fillId="3" borderId="1" xfId="0" applyFont="1" applyFill="1" applyBorder="1" applyAlignment="1">
      <alignment wrapText="1" readingOrder="1"/>
    </xf>
    <xf numFmtId="0" fontId="4" fillId="3" borderId="1" xfId="0" applyFont="1" applyFill="1" applyBorder="1" applyAlignment="1">
      <alignment horizontal="center" wrapText="1" readingOrder="1"/>
    </xf>
    <xf numFmtId="0" fontId="7" fillId="0" borderId="1" xfId="0" applyFont="1" applyBorder="1"/>
    <xf numFmtId="0" fontId="4" fillId="0" borderId="1" xfId="0" quotePrefix="1" applyFont="1" applyBorder="1" applyAlignment="1">
      <alignment wrapText="1" readingOrder="1"/>
    </xf>
    <xf numFmtId="0" fontId="4" fillId="0" borderId="1" xfId="0" quotePrefix="1" applyFont="1" applyBorder="1" applyAlignment="1">
      <alignment horizontal="center" wrapText="1" readingOrder="1"/>
    </xf>
    <xf numFmtId="0" fontId="5" fillId="0" borderId="1" xfId="0" applyFont="1" applyBorder="1" applyAlignment="1">
      <alignment readingOrder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34C1-1509-4A87-B479-3D1E7B732400}">
  <sheetPr codeName="Sheet2"/>
  <dimension ref="A1:K78"/>
  <sheetViews>
    <sheetView tabSelected="1" topLeftCell="C1" zoomScale="91" zoomScaleNormal="91" workbookViewId="0">
      <selection activeCell="F3" sqref="F3"/>
    </sheetView>
  </sheetViews>
  <sheetFormatPr defaultColWidth="8.85546875" defaultRowHeight="15" x14ac:dyDescent="0.25"/>
  <cols>
    <col min="1" max="1" width="42.28515625" bestFit="1" customWidth="1"/>
    <col min="2" max="2" width="14.42578125" bestFit="1" customWidth="1"/>
    <col min="3" max="3" width="33.5703125" bestFit="1" customWidth="1"/>
    <col min="4" max="4" width="45.7109375" customWidth="1"/>
    <col min="5" max="5" width="35" bestFit="1" customWidth="1"/>
    <col min="6" max="6" width="18.140625" bestFit="1" customWidth="1"/>
    <col min="7" max="7" width="20" bestFit="1" customWidth="1"/>
    <col min="8" max="8" width="23.5703125" style="1" bestFit="1" customWidth="1"/>
    <col min="9" max="9" width="22.28515625" bestFit="1" customWidth="1"/>
    <col min="10" max="10" width="23.28515625" bestFit="1" customWidth="1"/>
    <col min="11" max="11" width="33.28515625" bestFit="1" customWidth="1"/>
  </cols>
  <sheetData>
    <row r="1" spans="1:11" x14ac:dyDescent="0.25">
      <c r="A1" s="9" t="s">
        <v>88</v>
      </c>
      <c r="B1" s="9" t="s">
        <v>89</v>
      </c>
      <c r="C1" s="9" t="s">
        <v>0</v>
      </c>
      <c r="D1" s="9" t="s">
        <v>267</v>
      </c>
      <c r="E1" s="9" t="s">
        <v>268</v>
      </c>
      <c r="F1" s="9" t="s">
        <v>168</v>
      </c>
      <c r="G1" s="9" t="s">
        <v>167</v>
      </c>
      <c r="H1" s="10" t="s">
        <v>90</v>
      </c>
      <c r="I1" s="9" t="s">
        <v>91</v>
      </c>
      <c r="J1" s="9" t="s">
        <v>1</v>
      </c>
      <c r="K1" s="9" t="s">
        <v>2</v>
      </c>
    </row>
    <row r="2" spans="1:11" x14ac:dyDescent="0.25">
      <c r="A2" s="9" t="s">
        <v>92</v>
      </c>
      <c r="B2" s="9" t="s">
        <v>92</v>
      </c>
      <c r="C2" s="9" t="s">
        <v>92</v>
      </c>
      <c r="D2" s="9" t="s">
        <v>92</v>
      </c>
      <c r="E2" s="9" t="s">
        <v>92</v>
      </c>
      <c r="F2" s="9" t="s">
        <v>93</v>
      </c>
      <c r="G2" s="9" t="s">
        <v>93</v>
      </c>
      <c r="H2" s="11" t="s">
        <v>93</v>
      </c>
      <c r="I2" s="9" t="s">
        <v>94</v>
      </c>
      <c r="J2" s="9" t="s">
        <v>93</v>
      </c>
      <c r="K2" s="9" t="s">
        <v>92</v>
      </c>
    </row>
    <row r="3" spans="1:11" x14ac:dyDescent="0.25">
      <c r="A3" s="12" t="s">
        <v>95</v>
      </c>
      <c r="B3" s="3" t="s">
        <v>96</v>
      </c>
      <c r="C3" s="13" t="s">
        <v>3</v>
      </c>
      <c r="D3" s="14" t="s">
        <v>4</v>
      </c>
      <c r="E3" s="14"/>
      <c r="F3" s="14"/>
      <c r="G3" s="14"/>
      <c r="H3" s="15">
        <v>20</v>
      </c>
      <c r="I3" s="13" t="s">
        <v>97</v>
      </c>
      <c r="J3" s="13">
        <v>0.4</v>
      </c>
      <c r="K3" s="13" t="s">
        <v>5</v>
      </c>
    </row>
    <row r="4" spans="1:11" x14ac:dyDescent="0.25">
      <c r="A4" s="12" t="s">
        <v>98</v>
      </c>
      <c r="B4" s="3" t="s">
        <v>96</v>
      </c>
      <c r="C4" s="13" t="s">
        <v>6</v>
      </c>
      <c r="D4" s="14" t="s">
        <v>7</v>
      </c>
      <c r="E4" s="14"/>
      <c r="F4" s="14"/>
      <c r="G4" s="14"/>
      <c r="H4" s="15">
        <v>20</v>
      </c>
      <c r="I4" s="13" t="s">
        <v>99</v>
      </c>
      <c r="J4" s="13">
        <v>1.3</v>
      </c>
      <c r="K4" s="13" t="s">
        <v>8</v>
      </c>
    </row>
    <row r="5" spans="1:11" x14ac:dyDescent="0.25">
      <c r="A5" s="12" t="s">
        <v>100</v>
      </c>
      <c r="B5" s="3" t="s">
        <v>101</v>
      </c>
      <c r="C5" s="13" t="s">
        <v>9</v>
      </c>
      <c r="D5" s="14" t="s">
        <v>10</v>
      </c>
      <c r="E5" s="16"/>
      <c r="F5" s="16"/>
      <c r="G5" s="16"/>
      <c r="H5" s="17"/>
      <c r="I5" s="13" t="s">
        <v>102</v>
      </c>
      <c r="J5" s="13">
        <v>0.28000000000000003</v>
      </c>
      <c r="K5" s="13" t="s">
        <v>5</v>
      </c>
    </row>
    <row r="6" spans="1:11" x14ac:dyDescent="0.25">
      <c r="A6" s="12" t="s">
        <v>100</v>
      </c>
      <c r="B6" s="3" t="s">
        <v>101</v>
      </c>
      <c r="C6" s="13" t="s">
        <v>11</v>
      </c>
      <c r="D6" s="14" t="s">
        <v>10</v>
      </c>
      <c r="E6" s="14"/>
      <c r="F6" s="14"/>
      <c r="G6" s="14"/>
      <c r="H6" s="15"/>
      <c r="I6" s="13" t="s">
        <v>102</v>
      </c>
      <c r="J6" s="13">
        <f>0.28 + 5.865</f>
        <v>6.1450000000000005</v>
      </c>
      <c r="K6" s="13" t="s">
        <v>5</v>
      </c>
    </row>
    <row r="7" spans="1:11" x14ac:dyDescent="0.25">
      <c r="A7" s="13" t="s">
        <v>103</v>
      </c>
      <c r="B7" s="18" t="s">
        <v>104</v>
      </c>
      <c r="C7" s="13" t="s">
        <v>12</v>
      </c>
      <c r="D7" s="14" t="s">
        <v>13</v>
      </c>
      <c r="E7" s="14"/>
      <c r="F7" s="14">
        <v>40</v>
      </c>
      <c r="G7" s="14"/>
      <c r="H7" s="15">
        <v>100</v>
      </c>
      <c r="I7" s="13" t="s">
        <v>105</v>
      </c>
      <c r="J7" s="13">
        <v>12</v>
      </c>
      <c r="K7" s="13" t="s">
        <v>106</v>
      </c>
    </row>
    <row r="8" spans="1:11" x14ac:dyDescent="0.25">
      <c r="A8" s="13" t="s">
        <v>103</v>
      </c>
      <c r="B8" s="18" t="s">
        <v>104</v>
      </c>
      <c r="C8" s="13" t="s">
        <v>14</v>
      </c>
      <c r="D8" s="14" t="s">
        <v>15</v>
      </c>
      <c r="E8" s="14"/>
      <c r="F8" s="14"/>
      <c r="G8" s="14"/>
      <c r="H8" s="15">
        <v>100</v>
      </c>
      <c r="I8" s="12" t="s">
        <v>105</v>
      </c>
      <c r="J8" s="13">
        <v>25</v>
      </c>
      <c r="K8" s="13" t="s">
        <v>107</v>
      </c>
    </row>
    <row r="9" spans="1:11" ht="39" x14ac:dyDescent="0.25">
      <c r="A9" s="13" t="s">
        <v>103</v>
      </c>
      <c r="B9" s="18" t="s">
        <v>104</v>
      </c>
      <c r="C9" s="13" t="s">
        <v>16</v>
      </c>
      <c r="D9" s="14" t="s">
        <v>166</v>
      </c>
      <c r="E9" s="14" t="s">
        <v>108</v>
      </c>
      <c r="F9" s="14"/>
      <c r="G9" s="14"/>
      <c r="H9" s="15">
        <v>1.05</v>
      </c>
      <c r="I9" s="13" t="s">
        <v>109</v>
      </c>
      <c r="J9" s="13">
        <v>20</v>
      </c>
      <c r="K9" s="13" t="s">
        <v>5</v>
      </c>
    </row>
    <row r="10" spans="1:11" ht="26.25" x14ac:dyDescent="0.25">
      <c r="A10" s="13" t="s">
        <v>103</v>
      </c>
      <c r="B10" s="18" t="s">
        <v>104</v>
      </c>
      <c r="C10" s="13" t="s">
        <v>17</v>
      </c>
      <c r="D10" s="14" t="s">
        <v>18</v>
      </c>
      <c r="E10" s="14" t="s">
        <v>107</v>
      </c>
      <c r="F10" s="14"/>
      <c r="G10" s="14"/>
      <c r="H10" s="15"/>
      <c r="I10" s="12" t="s">
        <v>110</v>
      </c>
      <c r="J10" s="13">
        <v>40</v>
      </c>
      <c r="K10" s="13" t="s">
        <v>107</v>
      </c>
    </row>
    <row r="11" spans="1:11" ht="51.75" x14ac:dyDescent="0.25">
      <c r="A11" s="13" t="s">
        <v>103</v>
      </c>
      <c r="B11" s="18" t="s">
        <v>104</v>
      </c>
      <c r="C11" s="13" t="s">
        <v>19</v>
      </c>
      <c r="D11" s="14" t="s">
        <v>20</v>
      </c>
      <c r="E11" s="14"/>
      <c r="F11" s="14"/>
      <c r="G11" s="14"/>
      <c r="H11" s="15">
        <v>1</v>
      </c>
      <c r="I11" s="12" t="s">
        <v>110</v>
      </c>
      <c r="J11" s="13">
        <v>32</v>
      </c>
      <c r="K11" s="13" t="s">
        <v>107</v>
      </c>
    </row>
    <row r="12" spans="1:11" ht="64.5" x14ac:dyDescent="0.25">
      <c r="A12" s="12" t="s">
        <v>111</v>
      </c>
      <c r="B12" s="3" t="s">
        <v>112</v>
      </c>
      <c r="C12" s="13" t="s">
        <v>21</v>
      </c>
      <c r="D12" s="14" t="s">
        <v>259</v>
      </c>
      <c r="E12" s="14" t="s">
        <v>254</v>
      </c>
      <c r="F12" s="14"/>
      <c r="G12" s="14">
        <v>62.5</v>
      </c>
      <c r="H12" s="15"/>
      <c r="I12" s="13" t="s">
        <v>270</v>
      </c>
      <c r="J12" s="13">
        <v>4</v>
      </c>
      <c r="K12" s="13" t="s">
        <v>5</v>
      </c>
    </row>
    <row r="13" spans="1:11" ht="26.25" x14ac:dyDescent="0.25">
      <c r="A13" s="12" t="s">
        <v>113</v>
      </c>
      <c r="B13" s="3" t="s">
        <v>114</v>
      </c>
      <c r="C13" s="13" t="s">
        <v>22</v>
      </c>
      <c r="D13" s="14" t="s">
        <v>258</v>
      </c>
      <c r="E13" s="14" t="s">
        <v>115</v>
      </c>
      <c r="F13" s="14"/>
      <c r="G13" s="14"/>
      <c r="H13" s="15">
        <v>30</v>
      </c>
      <c r="I13" s="13" t="s">
        <v>116</v>
      </c>
      <c r="J13" s="13">
        <v>0.1</v>
      </c>
      <c r="K13" s="13" t="s">
        <v>5</v>
      </c>
    </row>
    <row r="14" spans="1:11" x14ac:dyDescent="0.25">
      <c r="A14" s="12" t="s">
        <v>117</v>
      </c>
      <c r="B14" s="3" t="s">
        <v>118</v>
      </c>
      <c r="C14" s="13" t="s">
        <v>23</v>
      </c>
      <c r="D14" s="14" t="s">
        <v>255</v>
      </c>
      <c r="E14" s="14" t="s">
        <v>24</v>
      </c>
      <c r="F14" s="14"/>
      <c r="G14" s="14"/>
      <c r="H14" s="15"/>
      <c r="I14" s="13" t="s">
        <v>119</v>
      </c>
      <c r="J14" s="13">
        <v>5</v>
      </c>
      <c r="K14" s="13" t="s">
        <v>25</v>
      </c>
    </row>
    <row r="15" spans="1:11" x14ac:dyDescent="0.25">
      <c r="A15" s="12" t="s">
        <v>120</v>
      </c>
      <c r="B15" s="3" t="s">
        <v>121</v>
      </c>
      <c r="C15" s="13" t="s">
        <v>26</v>
      </c>
      <c r="D15" s="14" t="s">
        <v>27</v>
      </c>
      <c r="E15" s="14"/>
      <c r="F15" s="14"/>
      <c r="G15" s="14"/>
      <c r="H15" s="15">
        <v>30</v>
      </c>
      <c r="I15" s="13" t="s">
        <v>122</v>
      </c>
      <c r="J15" s="13">
        <v>2</v>
      </c>
      <c r="K15" s="13" t="s">
        <v>28</v>
      </c>
    </row>
    <row r="16" spans="1:11" ht="26.25" x14ac:dyDescent="0.25">
      <c r="A16" s="12" t="s">
        <v>123</v>
      </c>
      <c r="B16" s="3" t="s">
        <v>124</v>
      </c>
      <c r="C16" s="13" t="s">
        <v>29</v>
      </c>
      <c r="D16" s="14" t="s">
        <v>256</v>
      </c>
      <c r="E16" s="21" t="s">
        <v>257</v>
      </c>
      <c r="F16" s="21"/>
      <c r="G16" s="21"/>
      <c r="H16" s="22">
        <v>30</v>
      </c>
      <c r="I16" s="13" t="s">
        <v>125</v>
      </c>
      <c r="J16" s="13">
        <v>25</v>
      </c>
      <c r="K16" s="13" t="s">
        <v>107</v>
      </c>
    </row>
    <row r="17" spans="1:11" ht="39" x14ac:dyDescent="0.25">
      <c r="A17" s="23" t="s">
        <v>126</v>
      </c>
      <c r="B17" s="3" t="s">
        <v>127</v>
      </c>
      <c r="C17" s="23" t="s">
        <v>30</v>
      </c>
      <c r="D17" s="24" t="s">
        <v>31</v>
      </c>
      <c r="E17" s="24" t="s">
        <v>32</v>
      </c>
      <c r="F17" s="24"/>
      <c r="G17" s="24"/>
      <c r="H17" s="25"/>
      <c r="I17" s="26" t="s">
        <v>269</v>
      </c>
      <c r="J17" s="23">
        <v>0.46</v>
      </c>
      <c r="K17" s="23" t="s">
        <v>5</v>
      </c>
    </row>
    <row r="18" spans="1:11" x14ac:dyDescent="0.25">
      <c r="A18" s="12" t="s">
        <v>128</v>
      </c>
      <c r="B18" s="3" t="s">
        <v>104</v>
      </c>
      <c r="C18" s="13" t="s">
        <v>33</v>
      </c>
      <c r="D18" s="14" t="s">
        <v>34</v>
      </c>
      <c r="E18" s="14" t="s">
        <v>35</v>
      </c>
      <c r="F18" s="14"/>
      <c r="G18" s="14"/>
      <c r="H18" s="15"/>
      <c r="I18" s="13" t="s">
        <v>129</v>
      </c>
      <c r="J18" s="13">
        <v>8</v>
      </c>
      <c r="K18" s="13" t="s">
        <v>5</v>
      </c>
    </row>
    <row r="19" spans="1:11" x14ac:dyDescent="0.25">
      <c r="A19" s="12" t="s">
        <v>165</v>
      </c>
      <c r="B19" s="3" t="s">
        <v>104</v>
      </c>
      <c r="C19" s="13" t="s">
        <v>36</v>
      </c>
      <c r="D19" s="14" t="s">
        <v>37</v>
      </c>
      <c r="E19" s="14" t="s">
        <v>38</v>
      </c>
      <c r="F19" s="14"/>
      <c r="G19" s="14"/>
      <c r="H19" s="15"/>
      <c r="I19" s="13" t="s">
        <v>130</v>
      </c>
      <c r="J19" s="13">
        <v>50</v>
      </c>
      <c r="K19" s="13" t="s">
        <v>5</v>
      </c>
    </row>
    <row r="20" spans="1:11" x14ac:dyDescent="0.25">
      <c r="A20" s="12" t="s">
        <v>131</v>
      </c>
      <c r="B20" s="3" t="s">
        <v>132</v>
      </c>
      <c r="C20" s="13" t="s">
        <v>30</v>
      </c>
      <c r="D20" s="14" t="s">
        <v>39</v>
      </c>
      <c r="E20" s="14"/>
      <c r="F20" s="14"/>
      <c r="G20" s="14"/>
      <c r="H20" s="15">
        <v>40</v>
      </c>
      <c r="I20" s="13" t="s">
        <v>133</v>
      </c>
      <c r="J20" s="13">
        <v>0.52500000000000002</v>
      </c>
      <c r="K20" s="13" t="s">
        <v>134</v>
      </c>
    </row>
    <row r="21" spans="1:11" x14ac:dyDescent="0.25">
      <c r="A21" s="12" t="s">
        <v>131</v>
      </c>
      <c r="B21" s="3" t="s">
        <v>132</v>
      </c>
      <c r="C21" s="13" t="s">
        <v>40</v>
      </c>
      <c r="D21" s="14" t="s">
        <v>41</v>
      </c>
      <c r="E21" s="14"/>
      <c r="F21" s="14"/>
      <c r="G21" s="14"/>
      <c r="H21" s="15">
        <v>20</v>
      </c>
      <c r="I21" s="13" t="s">
        <v>135</v>
      </c>
      <c r="J21" s="13">
        <f>(50+15)/2</f>
        <v>32.5</v>
      </c>
      <c r="K21" s="13" t="s">
        <v>5</v>
      </c>
    </row>
    <row r="22" spans="1:11" x14ac:dyDescent="0.25">
      <c r="A22" s="12" t="s">
        <v>136</v>
      </c>
      <c r="B22" s="3" t="s">
        <v>137</v>
      </c>
      <c r="C22" s="13" t="s">
        <v>42</v>
      </c>
      <c r="D22" s="14" t="s">
        <v>43</v>
      </c>
      <c r="E22" s="14"/>
      <c r="F22" s="14"/>
      <c r="G22" s="14"/>
      <c r="H22" s="15">
        <v>20</v>
      </c>
      <c r="I22" s="13" t="s">
        <v>138</v>
      </c>
      <c r="J22" s="13"/>
      <c r="K22" s="13" t="s">
        <v>5</v>
      </c>
    </row>
    <row r="23" spans="1:11" x14ac:dyDescent="0.25">
      <c r="A23" s="12" t="s">
        <v>139</v>
      </c>
      <c r="B23" s="3" t="s">
        <v>104</v>
      </c>
      <c r="C23" s="13" t="s">
        <v>44</v>
      </c>
      <c r="D23" s="14" t="s">
        <v>45</v>
      </c>
      <c r="E23" s="14"/>
      <c r="F23" s="14"/>
      <c r="G23" s="14">
        <v>37</v>
      </c>
      <c r="H23" s="15">
        <v>30</v>
      </c>
      <c r="I23" s="13" t="s">
        <v>140</v>
      </c>
      <c r="J23" s="13">
        <v>20.5</v>
      </c>
      <c r="K23" s="13" t="s">
        <v>141</v>
      </c>
    </row>
    <row r="24" spans="1:11" x14ac:dyDescent="0.25">
      <c r="A24" s="12" t="s">
        <v>139</v>
      </c>
      <c r="B24" s="3" t="s">
        <v>104</v>
      </c>
      <c r="C24" s="13" t="s">
        <v>46</v>
      </c>
      <c r="D24" s="14" t="s">
        <v>45</v>
      </c>
      <c r="E24" s="14"/>
      <c r="F24" s="14"/>
      <c r="G24" s="14">
        <v>37</v>
      </c>
      <c r="H24" s="15">
        <v>30</v>
      </c>
      <c r="I24" s="13" t="s">
        <v>142</v>
      </c>
      <c r="J24" s="13">
        <v>21.5</v>
      </c>
      <c r="K24" s="13" t="s">
        <v>141</v>
      </c>
    </row>
    <row r="25" spans="1:11" x14ac:dyDescent="0.25">
      <c r="A25" s="12" t="s">
        <v>139</v>
      </c>
      <c r="B25" s="3" t="s">
        <v>104</v>
      </c>
      <c r="C25" s="13" t="s">
        <v>47</v>
      </c>
      <c r="D25" s="14" t="s">
        <v>48</v>
      </c>
      <c r="E25" s="27"/>
      <c r="F25" s="27"/>
      <c r="G25" s="27"/>
      <c r="H25" s="28"/>
      <c r="I25" s="13" t="s">
        <v>143</v>
      </c>
      <c r="J25" s="13">
        <v>25</v>
      </c>
      <c r="K25" s="13" t="s">
        <v>141</v>
      </c>
    </row>
    <row r="26" spans="1:11" x14ac:dyDescent="0.25">
      <c r="A26" s="12" t="s">
        <v>144</v>
      </c>
      <c r="B26" s="3" t="s">
        <v>104</v>
      </c>
      <c r="C26" s="13" t="s">
        <v>49</v>
      </c>
      <c r="D26" s="14" t="s">
        <v>50</v>
      </c>
      <c r="E26" s="14"/>
      <c r="F26" s="14"/>
      <c r="G26" s="14"/>
      <c r="H26" s="15">
        <v>30</v>
      </c>
      <c r="I26" s="13" t="s">
        <v>145</v>
      </c>
      <c r="J26" s="13">
        <v>15.5</v>
      </c>
      <c r="K26" s="13" t="s">
        <v>141</v>
      </c>
    </row>
    <row r="27" spans="1:11" x14ac:dyDescent="0.25">
      <c r="A27" s="12" t="s">
        <v>144</v>
      </c>
      <c r="B27" s="3" t="s">
        <v>104</v>
      </c>
      <c r="C27" s="13" t="s">
        <v>51</v>
      </c>
      <c r="D27" s="14" t="s">
        <v>50</v>
      </c>
      <c r="E27" s="14"/>
      <c r="F27" s="14"/>
      <c r="G27" s="14"/>
      <c r="H27" s="15">
        <v>30</v>
      </c>
      <c r="I27" s="13" t="s">
        <v>146</v>
      </c>
      <c r="J27" s="13">
        <v>17</v>
      </c>
      <c r="K27" s="13" t="s">
        <v>5</v>
      </c>
    </row>
    <row r="28" spans="1:11" x14ac:dyDescent="0.25">
      <c r="A28" s="12" t="s">
        <v>144</v>
      </c>
      <c r="B28" s="3" t="s">
        <v>104</v>
      </c>
      <c r="C28" s="13" t="s">
        <v>52</v>
      </c>
      <c r="D28" s="14" t="s">
        <v>53</v>
      </c>
      <c r="E28" s="14"/>
      <c r="F28" s="14"/>
      <c r="G28" s="14"/>
      <c r="H28" s="15">
        <v>30</v>
      </c>
      <c r="I28" s="13" t="s">
        <v>146</v>
      </c>
      <c r="J28" s="13">
        <v>26</v>
      </c>
      <c r="K28" s="13" t="s">
        <v>5</v>
      </c>
    </row>
    <row r="29" spans="1:11" x14ac:dyDescent="0.25">
      <c r="A29" s="12" t="s">
        <v>147</v>
      </c>
      <c r="B29" s="3" t="s">
        <v>148</v>
      </c>
      <c r="C29" s="13" t="s">
        <v>54</v>
      </c>
      <c r="D29" s="14" t="s">
        <v>260</v>
      </c>
      <c r="E29" s="14" t="s">
        <v>261</v>
      </c>
      <c r="F29" s="14"/>
      <c r="G29" s="14"/>
      <c r="H29" s="15"/>
      <c r="I29" s="13" t="s">
        <v>251</v>
      </c>
      <c r="J29" s="13">
        <v>0.5</v>
      </c>
      <c r="K29" s="13" t="s">
        <v>5</v>
      </c>
    </row>
    <row r="30" spans="1:11" x14ac:dyDescent="0.25">
      <c r="A30" s="12" t="s">
        <v>147</v>
      </c>
      <c r="B30" s="3" t="s">
        <v>148</v>
      </c>
      <c r="C30" s="13" t="s">
        <v>250</v>
      </c>
      <c r="D30" s="14" t="s">
        <v>262</v>
      </c>
      <c r="E30" s="14" t="s">
        <v>261</v>
      </c>
      <c r="F30" s="14"/>
      <c r="G30" s="14"/>
      <c r="H30" s="15"/>
      <c r="I30" s="13" t="s">
        <v>252</v>
      </c>
      <c r="J30" s="13">
        <v>6</v>
      </c>
      <c r="K30" s="13"/>
    </row>
    <row r="31" spans="1:11" ht="39" x14ac:dyDescent="0.25">
      <c r="A31" s="12" t="s">
        <v>147</v>
      </c>
      <c r="B31" s="3" t="s">
        <v>148</v>
      </c>
      <c r="C31" s="13" t="s">
        <v>55</v>
      </c>
      <c r="D31" s="14" t="s">
        <v>56</v>
      </c>
      <c r="E31" s="14" t="s">
        <v>261</v>
      </c>
      <c r="F31" s="14"/>
      <c r="G31" s="14"/>
      <c r="H31" s="15"/>
      <c r="I31" s="13" t="s">
        <v>149</v>
      </c>
      <c r="J31" s="13">
        <v>8.5</v>
      </c>
      <c r="K31" s="13" t="s">
        <v>5</v>
      </c>
    </row>
    <row r="32" spans="1:11" ht="26.25" x14ac:dyDescent="0.25">
      <c r="A32" s="12" t="s">
        <v>147</v>
      </c>
      <c r="B32" s="3" t="s">
        <v>148</v>
      </c>
      <c r="C32" s="13" t="s">
        <v>57</v>
      </c>
      <c r="D32" s="14" t="s">
        <v>58</v>
      </c>
      <c r="E32" s="14" t="s">
        <v>261</v>
      </c>
      <c r="F32" s="14"/>
      <c r="G32" s="14"/>
      <c r="H32" s="15"/>
      <c r="I32" s="13" t="s">
        <v>150</v>
      </c>
      <c r="J32" s="13">
        <v>15</v>
      </c>
      <c r="K32" s="13" t="s">
        <v>107</v>
      </c>
    </row>
    <row r="33" spans="1:11" x14ac:dyDescent="0.25">
      <c r="A33" s="12" t="s">
        <v>151</v>
      </c>
      <c r="B33" s="3" t="s">
        <v>104</v>
      </c>
      <c r="C33" s="13" t="s">
        <v>59</v>
      </c>
      <c r="D33" s="14" t="s">
        <v>60</v>
      </c>
      <c r="E33" s="14"/>
      <c r="F33" s="14"/>
      <c r="G33" s="14"/>
      <c r="H33" s="15">
        <v>25</v>
      </c>
      <c r="I33" s="13" t="s">
        <v>152</v>
      </c>
      <c r="J33" s="13">
        <v>1</v>
      </c>
      <c r="K33" s="13" t="s">
        <v>5</v>
      </c>
    </row>
    <row r="34" spans="1:11" x14ac:dyDescent="0.25">
      <c r="A34" s="12" t="s">
        <v>153</v>
      </c>
      <c r="B34" s="3" t="s">
        <v>104</v>
      </c>
      <c r="C34" s="13" t="s">
        <v>61</v>
      </c>
      <c r="D34" s="14" t="s">
        <v>62</v>
      </c>
      <c r="E34" s="14"/>
      <c r="F34" s="14"/>
      <c r="G34" s="14"/>
      <c r="H34" s="15">
        <v>30</v>
      </c>
      <c r="I34" s="13" t="s">
        <v>154</v>
      </c>
      <c r="J34" s="13">
        <v>30</v>
      </c>
      <c r="K34" s="13" t="s">
        <v>5</v>
      </c>
    </row>
    <row r="35" spans="1:11" x14ac:dyDescent="0.25">
      <c r="A35" s="12" t="s">
        <v>155</v>
      </c>
      <c r="B35" s="3" t="s">
        <v>156</v>
      </c>
      <c r="C35" s="13" t="s">
        <v>63</v>
      </c>
      <c r="D35" s="14" t="s">
        <v>64</v>
      </c>
      <c r="E35" s="14"/>
      <c r="F35" s="14"/>
      <c r="G35" s="14"/>
      <c r="H35" s="15">
        <v>24</v>
      </c>
      <c r="I35" s="13" t="s">
        <v>157</v>
      </c>
      <c r="J35" s="13">
        <v>0.42899999999999999</v>
      </c>
      <c r="K35" s="13" t="s">
        <v>5</v>
      </c>
    </row>
    <row r="36" spans="1:11" ht="77.25" x14ac:dyDescent="0.25">
      <c r="A36" s="13" t="s">
        <v>158</v>
      </c>
      <c r="B36" s="3" t="s">
        <v>104</v>
      </c>
      <c r="C36" s="13" t="s">
        <v>65</v>
      </c>
      <c r="D36" s="14" t="s">
        <v>264</v>
      </c>
      <c r="E36" s="14" t="s">
        <v>263</v>
      </c>
      <c r="F36" s="14"/>
      <c r="G36" s="14"/>
      <c r="H36" s="15"/>
      <c r="I36" s="13" t="s">
        <v>159</v>
      </c>
      <c r="J36" s="13">
        <v>27.5</v>
      </c>
      <c r="K36" s="13" t="s">
        <v>5</v>
      </c>
    </row>
    <row r="37" spans="1:11" ht="141" x14ac:dyDescent="0.25">
      <c r="A37" s="12" t="s">
        <v>160</v>
      </c>
      <c r="B37" s="3" t="s">
        <v>104</v>
      </c>
      <c r="C37" s="13" t="s">
        <v>66</v>
      </c>
      <c r="D37" s="14" t="s">
        <v>67</v>
      </c>
      <c r="E37" s="14" t="s">
        <v>253</v>
      </c>
      <c r="F37" s="14"/>
      <c r="G37" s="14"/>
      <c r="H37" s="15">
        <v>30</v>
      </c>
      <c r="I37" s="29" t="s">
        <v>161</v>
      </c>
      <c r="J37" s="13">
        <v>15</v>
      </c>
      <c r="K37" s="13"/>
    </row>
    <row r="38" spans="1:11" ht="141" x14ac:dyDescent="0.25">
      <c r="A38" s="12" t="s">
        <v>160</v>
      </c>
      <c r="B38" s="3" t="s">
        <v>104</v>
      </c>
      <c r="C38" s="13" t="s">
        <v>68</v>
      </c>
      <c r="D38" s="14" t="s">
        <v>69</v>
      </c>
      <c r="E38" s="14" t="s">
        <v>253</v>
      </c>
      <c r="F38" s="14"/>
      <c r="G38" s="14"/>
      <c r="H38" s="15"/>
      <c r="I38" s="29" t="s">
        <v>161</v>
      </c>
      <c r="J38" s="13">
        <v>8</v>
      </c>
      <c r="K38" s="13"/>
    </row>
    <row r="39" spans="1:11" ht="141" x14ac:dyDescent="0.25">
      <c r="A39" s="12" t="s">
        <v>160</v>
      </c>
      <c r="B39" s="3" t="s">
        <v>104</v>
      </c>
      <c r="C39" s="13" t="s">
        <v>70</v>
      </c>
      <c r="D39" s="14" t="s">
        <v>71</v>
      </c>
      <c r="E39" s="14" t="s">
        <v>253</v>
      </c>
      <c r="F39" s="14"/>
      <c r="G39" s="14"/>
      <c r="H39" s="15"/>
      <c r="I39" s="29" t="s">
        <v>161</v>
      </c>
      <c r="J39" s="13"/>
      <c r="K39" s="13"/>
    </row>
    <row r="40" spans="1:11" ht="141" x14ac:dyDescent="0.25">
      <c r="A40" s="12" t="s">
        <v>160</v>
      </c>
      <c r="B40" s="3" t="s">
        <v>104</v>
      </c>
      <c r="C40" s="13" t="s">
        <v>72</v>
      </c>
      <c r="D40" s="14" t="s">
        <v>73</v>
      </c>
      <c r="E40" s="14" t="s">
        <v>253</v>
      </c>
      <c r="F40" s="14"/>
      <c r="G40" s="14"/>
      <c r="H40" s="15"/>
      <c r="I40" s="29" t="s">
        <v>161</v>
      </c>
      <c r="J40" s="13">
        <v>8</v>
      </c>
      <c r="K40" s="13"/>
    </row>
    <row r="41" spans="1:11" x14ac:dyDescent="0.25">
      <c r="A41" s="12" t="s">
        <v>160</v>
      </c>
      <c r="B41" s="3" t="s">
        <v>104</v>
      </c>
      <c r="C41" s="13" t="s">
        <v>74</v>
      </c>
      <c r="D41" s="14" t="s">
        <v>75</v>
      </c>
      <c r="E41" s="19"/>
      <c r="F41" s="19"/>
      <c r="G41" s="19"/>
      <c r="H41" s="20"/>
      <c r="I41" s="13" t="s">
        <v>162</v>
      </c>
      <c r="J41" s="13">
        <v>12</v>
      </c>
      <c r="K41" s="13"/>
    </row>
    <row r="42" spans="1:11" x14ac:dyDescent="0.25">
      <c r="A42" s="12" t="s">
        <v>160</v>
      </c>
      <c r="B42" s="3" t="s">
        <v>104</v>
      </c>
      <c r="C42" s="13" t="s">
        <v>76</v>
      </c>
      <c r="D42" s="14" t="s">
        <v>77</v>
      </c>
      <c r="E42" s="14"/>
      <c r="F42" s="14"/>
      <c r="G42" s="14"/>
      <c r="H42" s="15">
        <v>30</v>
      </c>
      <c r="I42" s="13" t="s">
        <v>162</v>
      </c>
      <c r="J42" s="13">
        <v>8.5</v>
      </c>
      <c r="K42" s="13"/>
    </row>
    <row r="43" spans="1:11" x14ac:dyDescent="0.25">
      <c r="A43" s="12" t="s">
        <v>163</v>
      </c>
      <c r="B43" s="3" t="s">
        <v>104</v>
      </c>
      <c r="C43" s="13" t="s">
        <v>78</v>
      </c>
      <c r="D43" s="14" t="s">
        <v>79</v>
      </c>
      <c r="E43" s="14"/>
      <c r="F43" s="14"/>
      <c r="G43" s="14"/>
      <c r="H43" s="15"/>
      <c r="I43" s="13" t="s">
        <v>164</v>
      </c>
      <c r="J43" s="13">
        <v>0.05</v>
      </c>
      <c r="K43" s="13" t="s">
        <v>5</v>
      </c>
    </row>
    <row r="44" spans="1:11" x14ac:dyDescent="0.25">
      <c r="A44" s="12" t="s">
        <v>163</v>
      </c>
      <c r="B44" s="3" t="s">
        <v>104</v>
      </c>
      <c r="C44" s="13" t="s">
        <v>80</v>
      </c>
      <c r="D44" s="14" t="s">
        <v>79</v>
      </c>
      <c r="E44" s="14"/>
      <c r="F44" s="14"/>
      <c r="G44" s="14"/>
      <c r="H44" s="15"/>
      <c r="I44" s="13" t="s">
        <v>164</v>
      </c>
      <c r="J44" s="13">
        <v>0.05</v>
      </c>
      <c r="K44" s="13" t="s">
        <v>5</v>
      </c>
    </row>
    <row r="45" spans="1:11" x14ac:dyDescent="0.25">
      <c r="A45" s="12" t="s">
        <v>163</v>
      </c>
      <c r="B45" s="3" t="s">
        <v>104</v>
      </c>
      <c r="C45" s="13" t="s">
        <v>81</v>
      </c>
      <c r="D45" s="14" t="s">
        <v>79</v>
      </c>
      <c r="E45" s="14"/>
      <c r="F45" s="14"/>
      <c r="G45" s="14"/>
      <c r="H45" s="15"/>
      <c r="I45" s="13" t="s">
        <v>164</v>
      </c>
      <c r="J45" s="13">
        <v>0.05</v>
      </c>
      <c r="K45" s="13" t="s">
        <v>5</v>
      </c>
    </row>
    <row r="46" spans="1:11" x14ac:dyDescent="0.25">
      <c r="A46" s="12" t="s">
        <v>163</v>
      </c>
      <c r="B46" s="3" t="s">
        <v>104</v>
      </c>
      <c r="C46" s="13" t="s">
        <v>82</v>
      </c>
      <c r="D46" s="14" t="s">
        <v>79</v>
      </c>
      <c r="E46" s="14"/>
      <c r="F46" s="14"/>
      <c r="G46" s="14"/>
      <c r="H46" s="15"/>
      <c r="I46" s="13" t="s">
        <v>164</v>
      </c>
      <c r="J46" s="13">
        <v>0.05</v>
      </c>
      <c r="K46" s="13" t="s">
        <v>5</v>
      </c>
    </row>
    <row r="47" spans="1:11" x14ac:dyDescent="0.25">
      <c r="A47" s="12" t="s">
        <v>163</v>
      </c>
      <c r="B47" s="3" t="s">
        <v>104</v>
      </c>
      <c r="C47" s="13" t="s">
        <v>83</v>
      </c>
      <c r="D47" s="14" t="s">
        <v>84</v>
      </c>
      <c r="E47" s="14"/>
      <c r="F47" s="14"/>
      <c r="G47" s="14"/>
      <c r="H47" s="15"/>
      <c r="I47" s="13" t="s">
        <v>164</v>
      </c>
      <c r="J47" s="13">
        <v>0.05</v>
      </c>
      <c r="K47" s="13" t="s">
        <v>5</v>
      </c>
    </row>
    <row r="48" spans="1:11" x14ac:dyDescent="0.25">
      <c r="A48" s="12" t="s">
        <v>163</v>
      </c>
      <c r="B48" s="3" t="s">
        <v>104</v>
      </c>
      <c r="C48" s="13" t="s">
        <v>85</v>
      </c>
      <c r="D48" s="14" t="s">
        <v>79</v>
      </c>
      <c r="E48" s="14"/>
      <c r="F48" s="14"/>
      <c r="G48" s="14"/>
      <c r="H48" s="15"/>
      <c r="I48" s="13" t="s">
        <v>164</v>
      </c>
      <c r="J48" s="13">
        <v>0.05</v>
      </c>
      <c r="K48" s="13" t="s">
        <v>5</v>
      </c>
    </row>
    <row r="49" spans="1:11" x14ac:dyDescent="0.25">
      <c r="A49" s="12" t="s">
        <v>163</v>
      </c>
      <c r="B49" s="3" t="s">
        <v>104</v>
      </c>
      <c r="C49" s="13" t="s">
        <v>86</v>
      </c>
      <c r="D49" s="14" t="s">
        <v>84</v>
      </c>
      <c r="E49" s="14"/>
      <c r="F49" s="14"/>
      <c r="G49" s="14"/>
      <c r="H49" s="15"/>
      <c r="I49" s="13" t="s">
        <v>164</v>
      </c>
      <c r="J49" s="13">
        <v>0.05</v>
      </c>
      <c r="K49" s="13" t="s">
        <v>5</v>
      </c>
    </row>
    <row r="50" spans="1:11" x14ac:dyDescent="0.25">
      <c r="A50" s="12" t="s">
        <v>163</v>
      </c>
      <c r="B50" s="3" t="s">
        <v>104</v>
      </c>
      <c r="C50" s="13" t="s">
        <v>82</v>
      </c>
      <c r="D50" s="14" t="s">
        <v>79</v>
      </c>
      <c r="E50" s="14"/>
      <c r="F50" s="14"/>
      <c r="G50" s="14"/>
      <c r="H50" s="15"/>
      <c r="I50" s="13" t="s">
        <v>164</v>
      </c>
      <c r="J50" s="13">
        <v>0.05</v>
      </c>
      <c r="K50" s="13" t="s">
        <v>5</v>
      </c>
    </row>
    <row r="51" spans="1:11" x14ac:dyDescent="0.25">
      <c r="A51" s="12" t="s">
        <v>163</v>
      </c>
      <c r="B51" s="3" t="s">
        <v>104</v>
      </c>
      <c r="C51" s="13" t="s">
        <v>83</v>
      </c>
      <c r="D51" s="14" t="s">
        <v>84</v>
      </c>
      <c r="E51" s="14"/>
      <c r="F51" s="14"/>
      <c r="G51" s="14"/>
      <c r="H51" s="15"/>
      <c r="I51" s="13" t="s">
        <v>164</v>
      </c>
      <c r="J51" s="13">
        <v>0.05</v>
      </c>
      <c r="K51" s="13" t="s">
        <v>5</v>
      </c>
    </row>
    <row r="52" spans="1:11" x14ac:dyDescent="0.25">
      <c r="A52" s="12" t="s">
        <v>163</v>
      </c>
      <c r="B52" s="3" t="s">
        <v>104</v>
      </c>
      <c r="C52" s="13" t="s">
        <v>87</v>
      </c>
      <c r="D52" s="14" t="s">
        <v>84</v>
      </c>
      <c r="E52" s="14"/>
      <c r="F52" s="14"/>
      <c r="G52" s="14"/>
      <c r="H52" s="26">
        <v>5</v>
      </c>
      <c r="I52" s="13" t="s">
        <v>164</v>
      </c>
      <c r="J52" s="13">
        <v>2</v>
      </c>
      <c r="K52" s="13" t="s">
        <v>5</v>
      </c>
    </row>
    <row r="53" spans="1:11" x14ac:dyDescent="0.25">
      <c r="A53" s="2" t="s">
        <v>172</v>
      </c>
      <c r="B53" s="3" t="s">
        <v>104</v>
      </c>
      <c r="C53" s="7" t="s">
        <v>185</v>
      </c>
      <c r="D53" s="6" t="s">
        <v>209</v>
      </c>
      <c r="E53" s="6"/>
      <c r="F53" s="6">
        <v>43</v>
      </c>
      <c r="G53" s="6"/>
      <c r="H53" s="30">
        <v>30</v>
      </c>
      <c r="I53" s="13" t="s">
        <v>230</v>
      </c>
      <c r="J53" s="6">
        <v>90</v>
      </c>
      <c r="K53" s="6"/>
    </row>
    <row r="54" spans="1:11" x14ac:dyDescent="0.25">
      <c r="A54" s="4" t="s">
        <v>173</v>
      </c>
      <c r="B54" s="3" t="s">
        <v>104</v>
      </c>
      <c r="C54" s="8" t="s">
        <v>186</v>
      </c>
      <c r="D54" s="6" t="s">
        <v>210</v>
      </c>
      <c r="E54" s="6" t="s">
        <v>265</v>
      </c>
      <c r="F54" s="6"/>
      <c r="G54" s="6" t="s">
        <v>107</v>
      </c>
      <c r="H54" s="30"/>
      <c r="I54" s="13" t="s">
        <v>231</v>
      </c>
      <c r="J54" s="6">
        <v>1.5</v>
      </c>
      <c r="K54" s="6" t="s">
        <v>247</v>
      </c>
    </row>
    <row r="55" spans="1:11" x14ac:dyDescent="0.25">
      <c r="A55" s="4" t="s">
        <v>174</v>
      </c>
      <c r="B55" s="3" t="s">
        <v>104</v>
      </c>
      <c r="C55" s="8" t="s">
        <v>187</v>
      </c>
      <c r="D55" s="6" t="s">
        <v>211</v>
      </c>
      <c r="E55" s="6"/>
      <c r="F55" s="6"/>
      <c r="G55" s="6"/>
      <c r="H55" s="30">
        <v>100</v>
      </c>
      <c r="I55" s="13" t="s">
        <v>232</v>
      </c>
      <c r="J55" s="6">
        <v>7</v>
      </c>
      <c r="K55" s="6" t="s">
        <v>141</v>
      </c>
    </row>
    <row r="56" spans="1:11" x14ac:dyDescent="0.25">
      <c r="A56" s="2" t="s">
        <v>175</v>
      </c>
      <c r="B56" s="3" t="s">
        <v>104</v>
      </c>
      <c r="C56" s="4" t="s">
        <v>188</v>
      </c>
      <c r="D56" s="6" t="s">
        <v>212</v>
      </c>
      <c r="E56" s="6" t="s">
        <v>265</v>
      </c>
      <c r="F56" s="6"/>
      <c r="G56" s="6"/>
      <c r="H56" s="30"/>
      <c r="I56" s="13" t="s">
        <v>233</v>
      </c>
      <c r="J56" s="6">
        <v>10</v>
      </c>
      <c r="K56" s="6"/>
    </row>
    <row r="57" spans="1:11" x14ac:dyDescent="0.25">
      <c r="A57" s="2" t="s">
        <v>175</v>
      </c>
      <c r="B57" s="3" t="s">
        <v>104</v>
      </c>
      <c r="C57" s="4" t="s">
        <v>189</v>
      </c>
      <c r="D57" s="6" t="s">
        <v>213</v>
      </c>
      <c r="E57" s="6" t="s">
        <v>265</v>
      </c>
      <c r="F57" s="6"/>
      <c r="G57" s="6"/>
      <c r="H57" s="30"/>
      <c r="I57" s="13" t="s">
        <v>233</v>
      </c>
      <c r="J57" s="6">
        <v>5</v>
      </c>
      <c r="K57" s="6" t="s">
        <v>248</v>
      </c>
    </row>
    <row r="58" spans="1:11" x14ac:dyDescent="0.25">
      <c r="A58" s="2" t="s">
        <v>175</v>
      </c>
      <c r="B58" s="3" t="s">
        <v>104</v>
      </c>
      <c r="C58" s="2" t="s">
        <v>190</v>
      </c>
      <c r="D58" s="6" t="s">
        <v>214</v>
      </c>
      <c r="E58" s="6" t="s">
        <v>265</v>
      </c>
      <c r="F58" s="6"/>
      <c r="G58" s="6"/>
      <c r="H58" s="30"/>
      <c r="I58" s="13" t="s">
        <v>234</v>
      </c>
      <c r="J58" s="6">
        <v>1</v>
      </c>
      <c r="K58" s="6" t="s">
        <v>248</v>
      </c>
    </row>
    <row r="59" spans="1:11" x14ac:dyDescent="0.25">
      <c r="A59" s="5" t="s">
        <v>176</v>
      </c>
      <c r="B59" s="6" t="s">
        <v>104</v>
      </c>
      <c r="C59" s="4" t="s">
        <v>191</v>
      </c>
      <c r="D59" s="6" t="s">
        <v>215</v>
      </c>
      <c r="E59" s="6"/>
      <c r="F59" s="6"/>
      <c r="G59" s="6"/>
      <c r="H59" s="30">
        <v>10</v>
      </c>
      <c r="I59" s="13" t="s">
        <v>235</v>
      </c>
      <c r="J59" s="6"/>
      <c r="K59" s="6" t="s">
        <v>141</v>
      </c>
    </row>
    <row r="60" spans="1:11" x14ac:dyDescent="0.25">
      <c r="A60" s="5" t="s">
        <v>176</v>
      </c>
      <c r="B60" s="6" t="s">
        <v>104</v>
      </c>
      <c r="C60" s="4" t="s">
        <v>192</v>
      </c>
      <c r="D60" s="6" t="s">
        <v>216</v>
      </c>
      <c r="E60" s="6" t="s">
        <v>107</v>
      </c>
      <c r="F60" s="6"/>
      <c r="G60" s="6"/>
      <c r="H60" s="30">
        <v>50</v>
      </c>
      <c r="I60" s="13"/>
      <c r="J60" s="6">
        <v>12</v>
      </c>
      <c r="K60" s="6" t="s">
        <v>141</v>
      </c>
    </row>
    <row r="61" spans="1:11" x14ac:dyDescent="0.25">
      <c r="A61" s="7" t="s">
        <v>179</v>
      </c>
      <c r="B61" s="6" t="s">
        <v>104</v>
      </c>
      <c r="C61" s="4" t="s">
        <v>193</v>
      </c>
      <c r="D61" s="6" t="s">
        <v>217</v>
      </c>
      <c r="E61" s="6"/>
      <c r="F61" s="6"/>
      <c r="G61" s="6"/>
      <c r="H61" s="30">
        <v>300</v>
      </c>
      <c r="I61" s="13" t="s">
        <v>236</v>
      </c>
      <c r="J61" s="6">
        <v>1.2</v>
      </c>
      <c r="K61" s="6"/>
    </row>
    <row r="62" spans="1:11" x14ac:dyDescent="0.25">
      <c r="A62" s="7" t="s">
        <v>179</v>
      </c>
      <c r="B62" s="6" t="s">
        <v>104</v>
      </c>
      <c r="C62" s="2" t="s">
        <v>194</v>
      </c>
      <c r="D62" s="6" t="s">
        <v>217</v>
      </c>
      <c r="E62" s="6"/>
      <c r="F62" s="6"/>
      <c r="G62" s="6"/>
      <c r="H62" s="30">
        <v>300</v>
      </c>
      <c r="I62" s="13" t="s">
        <v>237</v>
      </c>
      <c r="J62" s="6">
        <v>1.2</v>
      </c>
      <c r="K62" s="6"/>
    </row>
    <row r="63" spans="1:11" x14ac:dyDescent="0.25">
      <c r="A63" s="7" t="s">
        <v>179</v>
      </c>
      <c r="B63" s="6" t="s">
        <v>104</v>
      </c>
      <c r="C63" s="7" t="s">
        <v>195</v>
      </c>
      <c r="D63" s="6" t="s">
        <v>217</v>
      </c>
      <c r="E63" s="6"/>
      <c r="F63" s="6"/>
      <c r="G63" s="6"/>
      <c r="H63" s="30">
        <v>300</v>
      </c>
      <c r="I63" s="13" t="s">
        <v>161</v>
      </c>
      <c r="J63" s="6">
        <v>1.2</v>
      </c>
      <c r="K63" s="6"/>
    </row>
    <row r="64" spans="1:11" x14ac:dyDescent="0.25">
      <c r="A64" s="8" t="s">
        <v>177</v>
      </c>
      <c r="B64" s="6" t="s">
        <v>169</v>
      </c>
      <c r="C64" s="4" t="s">
        <v>196</v>
      </c>
      <c r="D64" s="6" t="s">
        <v>218</v>
      </c>
      <c r="E64" s="6"/>
      <c r="F64" s="6"/>
      <c r="G64" s="6"/>
      <c r="H64" s="30"/>
      <c r="I64" s="13" t="s">
        <v>231</v>
      </c>
      <c r="J64" s="6">
        <v>7</v>
      </c>
      <c r="K64" s="6" t="s">
        <v>5</v>
      </c>
    </row>
    <row r="65" spans="1:11" x14ac:dyDescent="0.25">
      <c r="A65" s="5" t="s">
        <v>178</v>
      </c>
      <c r="B65" s="6" t="s">
        <v>104</v>
      </c>
      <c r="C65" s="2" t="s">
        <v>197</v>
      </c>
      <c r="D65" s="6" t="s">
        <v>219</v>
      </c>
      <c r="E65" s="6" t="s">
        <v>266</v>
      </c>
      <c r="F65" s="6">
        <v>67</v>
      </c>
      <c r="G65" s="6"/>
      <c r="H65" s="30">
        <v>60</v>
      </c>
      <c r="I65" s="13" t="s">
        <v>238</v>
      </c>
      <c r="J65" s="6">
        <v>4</v>
      </c>
      <c r="K65" s="6" t="s">
        <v>5</v>
      </c>
    </row>
    <row r="66" spans="1:11" x14ac:dyDescent="0.25">
      <c r="A66" s="5" t="s">
        <v>178</v>
      </c>
      <c r="B66" s="6" t="s">
        <v>104</v>
      </c>
      <c r="C66" s="2" t="s">
        <v>197</v>
      </c>
      <c r="D66" s="6" t="s">
        <v>219</v>
      </c>
      <c r="E66" s="6" t="s">
        <v>266</v>
      </c>
      <c r="F66" s="6">
        <v>67</v>
      </c>
      <c r="G66" s="6"/>
      <c r="H66" s="30">
        <v>60</v>
      </c>
      <c r="I66" s="13" t="s">
        <v>239</v>
      </c>
      <c r="J66" s="6">
        <v>4</v>
      </c>
      <c r="K66" s="6" t="s">
        <v>5</v>
      </c>
    </row>
    <row r="67" spans="1:11" x14ac:dyDescent="0.25">
      <c r="A67" s="5" t="s">
        <v>178</v>
      </c>
      <c r="B67" s="6" t="s">
        <v>104</v>
      </c>
      <c r="C67" s="2" t="s">
        <v>198</v>
      </c>
      <c r="D67" s="6" t="s">
        <v>220</v>
      </c>
      <c r="E67" s="6" t="s">
        <v>266</v>
      </c>
      <c r="F67" s="6">
        <v>67</v>
      </c>
      <c r="G67" s="6"/>
      <c r="H67" s="30">
        <v>60</v>
      </c>
      <c r="I67" s="13" t="s">
        <v>238</v>
      </c>
      <c r="J67" s="6">
        <v>20</v>
      </c>
      <c r="K67" s="6" t="s">
        <v>141</v>
      </c>
    </row>
    <row r="68" spans="1:11" x14ac:dyDescent="0.25">
      <c r="A68" s="5" t="s">
        <v>178</v>
      </c>
      <c r="B68" s="6" t="s">
        <v>104</v>
      </c>
      <c r="C68" s="2" t="s">
        <v>198</v>
      </c>
      <c r="D68" s="6" t="s">
        <v>220</v>
      </c>
      <c r="E68" s="6" t="s">
        <v>266</v>
      </c>
      <c r="F68" s="6">
        <v>67</v>
      </c>
      <c r="G68" s="6"/>
      <c r="H68" s="30">
        <v>60</v>
      </c>
      <c r="I68" s="13" t="s">
        <v>239</v>
      </c>
      <c r="J68" s="6">
        <v>20</v>
      </c>
      <c r="K68" s="6" t="s">
        <v>141</v>
      </c>
    </row>
    <row r="69" spans="1:11" x14ac:dyDescent="0.25">
      <c r="A69" s="5" t="s">
        <v>180</v>
      </c>
      <c r="B69" s="6" t="s">
        <v>170</v>
      </c>
      <c r="C69" s="2" t="s">
        <v>199</v>
      </c>
      <c r="D69" s="6" t="s">
        <v>221</v>
      </c>
      <c r="E69" s="6"/>
      <c r="F69" s="6"/>
      <c r="G69" s="6"/>
      <c r="H69" s="30"/>
      <c r="I69" s="13" t="s">
        <v>240</v>
      </c>
      <c r="J69" s="6">
        <v>0.1</v>
      </c>
      <c r="K69" s="6" t="s">
        <v>249</v>
      </c>
    </row>
    <row r="70" spans="1:11" x14ac:dyDescent="0.25">
      <c r="A70" s="5" t="s">
        <v>180</v>
      </c>
      <c r="B70" s="6" t="s">
        <v>170</v>
      </c>
      <c r="C70" s="2" t="s">
        <v>200</v>
      </c>
      <c r="D70" s="6" t="s">
        <v>222</v>
      </c>
      <c r="E70" s="6"/>
      <c r="F70" s="6"/>
      <c r="G70" s="6"/>
      <c r="H70" s="30"/>
      <c r="I70" s="13" t="s">
        <v>240</v>
      </c>
      <c r="J70" s="6">
        <v>0.1</v>
      </c>
      <c r="K70" s="6" t="s">
        <v>249</v>
      </c>
    </row>
    <row r="71" spans="1:11" x14ac:dyDescent="0.25">
      <c r="A71" s="5" t="s">
        <v>181</v>
      </c>
      <c r="B71" s="6" t="s">
        <v>156</v>
      </c>
      <c r="C71" s="2" t="s">
        <v>201</v>
      </c>
      <c r="D71" s="6" t="s">
        <v>223</v>
      </c>
      <c r="E71" s="6"/>
      <c r="F71" s="6"/>
      <c r="G71" s="6"/>
      <c r="H71" s="30"/>
      <c r="I71" s="13" t="s">
        <v>241</v>
      </c>
      <c r="J71" s="6">
        <v>36</v>
      </c>
      <c r="K71" s="6" t="s">
        <v>249</v>
      </c>
    </row>
    <row r="72" spans="1:11" x14ac:dyDescent="0.25">
      <c r="A72" s="5" t="s">
        <v>182</v>
      </c>
      <c r="B72" s="6" t="s">
        <v>104</v>
      </c>
      <c r="C72" s="4" t="s">
        <v>202</v>
      </c>
      <c r="D72" s="6" t="s">
        <v>224</v>
      </c>
      <c r="E72" s="6"/>
      <c r="F72" s="6"/>
      <c r="G72" s="6">
        <v>50</v>
      </c>
      <c r="H72" s="30">
        <v>30</v>
      </c>
      <c r="I72" s="13" t="s">
        <v>242</v>
      </c>
      <c r="J72" s="6">
        <v>60</v>
      </c>
      <c r="K72" s="6" t="s">
        <v>248</v>
      </c>
    </row>
    <row r="73" spans="1:11" x14ac:dyDescent="0.25">
      <c r="A73" s="5" t="s">
        <v>182</v>
      </c>
      <c r="B73" s="6" t="s">
        <v>104</v>
      </c>
      <c r="C73" s="4" t="s">
        <v>203</v>
      </c>
      <c r="D73" s="6" t="s">
        <v>225</v>
      </c>
      <c r="E73" s="6"/>
      <c r="F73" s="6"/>
      <c r="G73" s="6">
        <v>40</v>
      </c>
      <c r="H73" s="30">
        <v>30</v>
      </c>
      <c r="I73" s="13" t="s">
        <v>242</v>
      </c>
      <c r="J73" s="6">
        <v>50</v>
      </c>
      <c r="K73" s="6" t="s">
        <v>5</v>
      </c>
    </row>
    <row r="74" spans="1:11" x14ac:dyDescent="0.25">
      <c r="A74" s="5" t="s">
        <v>183</v>
      </c>
      <c r="B74" s="6" t="s">
        <v>96</v>
      </c>
      <c r="C74" s="4" t="s">
        <v>204</v>
      </c>
      <c r="D74" s="6" t="s">
        <v>226</v>
      </c>
      <c r="E74" s="6" t="s">
        <v>271</v>
      </c>
      <c r="F74" s="6"/>
      <c r="G74" s="6"/>
      <c r="H74" s="30"/>
      <c r="I74" s="13" t="s">
        <v>244</v>
      </c>
      <c r="J74" s="6">
        <v>32.5</v>
      </c>
      <c r="K74" s="6" t="s">
        <v>5</v>
      </c>
    </row>
    <row r="75" spans="1:11" x14ac:dyDescent="0.25">
      <c r="A75" s="5" t="s">
        <v>183</v>
      </c>
      <c r="B75" s="6" t="s">
        <v>96</v>
      </c>
      <c r="C75" s="2" t="s">
        <v>205</v>
      </c>
      <c r="D75" s="6" t="s">
        <v>227</v>
      </c>
      <c r="E75" s="6" t="s">
        <v>271</v>
      </c>
      <c r="F75" s="6"/>
      <c r="G75" s="6"/>
      <c r="H75" s="30"/>
      <c r="I75" s="13" t="s">
        <v>243</v>
      </c>
      <c r="J75" s="6">
        <v>20</v>
      </c>
      <c r="K75" s="6"/>
    </row>
    <row r="76" spans="1:11" x14ac:dyDescent="0.25">
      <c r="A76" s="5" t="s">
        <v>184</v>
      </c>
      <c r="B76" s="6" t="s">
        <v>171</v>
      </c>
      <c r="C76" s="4" t="s">
        <v>206</v>
      </c>
      <c r="D76" s="6" t="s">
        <v>228</v>
      </c>
      <c r="E76" s="6"/>
      <c r="F76" s="6"/>
      <c r="G76" s="6"/>
      <c r="H76" s="30">
        <v>25</v>
      </c>
      <c r="I76" s="13" t="s">
        <v>245</v>
      </c>
      <c r="J76" s="6">
        <v>2</v>
      </c>
      <c r="K76" s="6" t="s">
        <v>5</v>
      </c>
    </row>
    <row r="77" spans="1:11" x14ac:dyDescent="0.25">
      <c r="A77" s="5" t="s">
        <v>184</v>
      </c>
      <c r="B77" s="6" t="s">
        <v>171</v>
      </c>
      <c r="C77" s="4" t="s">
        <v>207</v>
      </c>
      <c r="D77" s="6" t="s">
        <v>229</v>
      </c>
      <c r="E77" s="6"/>
      <c r="F77" s="6"/>
      <c r="G77" s="6"/>
      <c r="H77" s="30">
        <v>30</v>
      </c>
      <c r="I77" s="13" t="s">
        <v>246</v>
      </c>
      <c r="J77" s="6">
        <v>5</v>
      </c>
      <c r="K77" s="6" t="s">
        <v>5</v>
      </c>
    </row>
    <row r="78" spans="1:11" x14ac:dyDescent="0.25">
      <c r="A78" s="5" t="s">
        <v>184</v>
      </c>
      <c r="B78" s="6" t="s">
        <v>171</v>
      </c>
      <c r="C78" s="4" t="s">
        <v>208</v>
      </c>
      <c r="D78" s="6" t="s">
        <v>229</v>
      </c>
      <c r="E78" s="6"/>
      <c r="F78" s="6"/>
      <c r="G78" s="6"/>
      <c r="H78" s="30">
        <v>30</v>
      </c>
      <c r="I78" s="13" t="s">
        <v>246</v>
      </c>
      <c r="J78" s="6">
        <v>5</v>
      </c>
      <c r="K78" s="6" t="s">
        <v>5</v>
      </c>
    </row>
  </sheetData>
  <pageMargins left="0.7" right="0.7" top="0.75" bottom="0.75" header="0.3" footer="0.3"/>
  <ignoredErrors>
    <ignoredError sqref="I7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onboard_computing_systems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Aiden Powell</cp:lastModifiedBy>
  <cp:revision/>
  <dcterms:created xsi:type="dcterms:W3CDTF">2025-06-16T19:07:59Z</dcterms:created>
  <dcterms:modified xsi:type="dcterms:W3CDTF">2025-08-13T19:55:47Z</dcterms:modified>
  <cp:category/>
  <cp:contentStatus/>
</cp:coreProperties>
</file>