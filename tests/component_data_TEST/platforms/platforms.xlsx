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/>
  <mc:AlternateContent xmlns:mc="http://schemas.openxmlformats.org/markup-compatibility/2006">
    <mc:Choice Requires="x15">
      <x15ac:absPath xmlns:x15ac="http://schemas.microsoft.com/office/spreadsheetml/2010/11/ac" url="https://northeastern-my.sharepoint.com/personal/watt_f_northeastern_edu/Documents/data/platforms/"/>
    </mc:Choice>
  </mc:AlternateContent>
  <xr:revisionPtr revIDLastSave="2106" documentId="11_0B1D56BE9CDCCE836B02CE7A5FB0D4A9BBFD1C62" xr6:coauthVersionLast="47" xr6:coauthVersionMax="47" xr10:uidLastSave="{E5109066-20F3-41F1-B17B-AE13E00F6B94}"/>
  <bookViews>
    <workbookView xWindow="-120" yWindow="-120" windowWidth="29040" windowHeight="15840" tabRatio="331" firstSheet="1" activeTab="3" xr2:uid="{00000000-000D-0000-FFFF-FFFF00000000}"/>
  </bookViews>
  <sheets>
    <sheet name="hosted_payloads" sheetId="1" r:id="rId1"/>
    <sheet name="pocketqubes" sheetId="2" r:id="rId2"/>
    <sheet name="cubesats" sheetId="3" r:id="rId3"/>
    <sheet name="espa_class_satellite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9" i="3" l="1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3" i="3"/>
</calcChain>
</file>

<file path=xl/sharedStrings.xml><?xml version="1.0" encoding="utf-8"?>
<sst xmlns="http://schemas.openxmlformats.org/spreadsheetml/2006/main" count="1050" uniqueCount="211">
  <si>
    <t>Organization</t>
  </si>
  <si>
    <t>Headquarters</t>
  </si>
  <si>
    <t>Max Volume (m3)</t>
  </si>
  <si>
    <t>Max Mass (kg)</t>
  </si>
  <si>
    <t>Peak Power (W)</t>
  </si>
  <si>
    <t>3-σ Pointing Control (deg)</t>
  </si>
  <si>
    <t>3-σ Pointing Knowledge (deg)</t>
  </si>
  <si>
    <t>Intended Destination</t>
  </si>
  <si>
    <t>US Office</t>
  </si>
  <si>
    <t>string</t>
  </si>
  <si>
    <t>number</t>
  </si>
  <si>
    <t>list</t>
  </si>
  <si>
    <t>boolean</t>
  </si>
  <si>
    <t>Aerospacelab</t>
  </si>
  <si>
    <t>Belgium</t>
  </si>
  <si>
    <t>LEO, GEO</t>
  </si>
  <si>
    <t>Artemis Space Technologies</t>
  </si>
  <si>
    <t>UK</t>
  </si>
  <si>
    <t>LEO, MEO, GEO, Lunar and Deep Space</t>
  </si>
  <si>
    <t>Astranis Space Technologies Corp.</t>
  </si>
  <si>
    <t>USA</t>
  </si>
  <si>
    <t>GEO</t>
  </si>
  <si>
    <t>Astro Digital</t>
  </si>
  <si>
    <t>Axelspace</t>
  </si>
  <si>
    <t>Japan</t>
  </si>
  <si>
    <t>LEO</t>
  </si>
  <si>
    <t>Berlin Space Technologies</t>
  </si>
  <si>
    <t>Germany</t>
  </si>
  <si>
    <t>C3S Electronics Development</t>
  </si>
  <si>
    <t>Hungary</t>
  </si>
  <si>
    <t>LEO, MEO</t>
  </si>
  <si>
    <t>CREOTECH</t>
  </si>
  <si>
    <t>Poland</t>
  </si>
  <si>
    <t>LEO, MEO, GEO, Lunar</t>
  </si>
  <si>
    <t>EnduroSat</t>
  </si>
  <si>
    <t>Bulgaria</t>
  </si>
  <si>
    <t>General Atomics EMS</t>
  </si>
  <si>
    <t>German Orbital Systems</t>
  </si>
  <si>
    <t>Gran Systems</t>
  </si>
  <si>
    <t>Taiwan</t>
  </si>
  <si>
    <t>LEO, Lunar</t>
  </si>
  <si>
    <t>Harpy Aerospace</t>
  </si>
  <si>
    <t>India</t>
  </si>
  <si>
    <t>LEO, GEO, Lunar, ISS</t>
  </si>
  <si>
    <t>Hemeria</t>
  </si>
  <si>
    <t>France</t>
  </si>
  <si>
    <t>LEO, GTO, GEO</t>
  </si>
  <si>
    <t>Innova Space</t>
  </si>
  <si>
    <t>Argentina</t>
  </si>
  <si>
    <t>Loft Orbital</t>
  </si>
  <si>
    <t>Momentus Space</t>
  </si>
  <si>
    <t>LEO, MEO, GEO, Lunar, Deep Space</t>
  </si>
  <si>
    <t>NanoAvionics</t>
  </si>
  <si>
    <t>Lithuania</t>
  </si>
  <si>
    <t>Nara Space</t>
  </si>
  <si>
    <t>South Korea</t>
  </si>
  <si>
    <t>NearSpace Launch</t>
  </si>
  <si>
    <t>Northrop Grumman</t>
  </si>
  <si>
    <t>NovaWurks</t>
  </si>
  <si>
    <t>LEO, GEO, xGEO</t>
  </si>
  <si>
    <t>NPC SPACEMIND</t>
  </si>
  <si>
    <t>Italy</t>
  </si>
  <si>
    <t>OHB LuxSpace</t>
  </si>
  <si>
    <t>Luxembourg</t>
  </si>
  <si>
    <t>OHB Sweden</t>
  </si>
  <si>
    <t>Sweden</t>
  </si>
  <si>
    <t>Open Cosmos</t>
  </si>
  <si>
    <t>Orbital Astronautics</t>
  </si>
  <si>
    <t>LEO, MEO, GEO, Deep Space</t>
  </si>
  <si>
    <t>Orion Space Solutions</t>
  </si>
  <si>
    <t>LEO, GEO, Lunar </t>
  </si>
  <si>
    <t>Quantum Space</t>
  </si>
  <si>
    <t>LEO, GEO, Cislunar, Lunar, Deep Space</t>
  </si>
  <si>
    <t>Redwire Space</t>
  </si>
  <si>
    <t>LEO, MEO, GEO and Deep Space</t>
  </si>
  <si>
    <t>Rocket Lab</t>
  </si>
  <si>
    <t>SatRev</t>
  </si>
  <si>
    <t>Sierra Space</t>
  </si>
  <si>
    <t>LEO, MEO, GEO</t>
  </si>
  <si>
    <t>SITAEL</t>
  </si>
  <si>
    <t>SpaceX</t>
  </si>
  <si>
    <t>Space Inventor</t>
  </si>
  <si>
    <t>Denmark</t>
  </si>
  <si>
    <t>LEO, GEO, MEO</t>
  </si>
  <si>
    <t>Spacemanic</t>
  </si>
  <si>
    <t>Czech Republic</t>
  </si>
  <si>
    <t>Spire Global</t>
  </si>
  <si>
    <t>Surrey Satellite Technology Ltd.</t>
  </si>
  <si>
    <t>Terran Orbital</t>
  </si>
  <si>
    <t>LEO, GEO, Deep Space</t>
  </si>
  <si>
    <t>Varda Space Industries</t>
  </si>
  <si>
    <t>Xplore</t>
  </si>
  <si>
    <t>VLEO, LEO, Cislunar</t>
  </si>
  <si>
    <t>York Space Systems</t>
  </si>
  <si>
    <t>LEO, GEO, Lunar</t>
  </si>
  <si>
    <t>Organization Headquarters</t>
  </si>
  <si>
    <t>Comm Options</t>
  </si>
  <si>
    <t>Alba Orbital</t>
  </si>
  <si>
    <t>UHF, S</t>
  </si>
  <si>
    <t>DIYSATELLITE</t>
  </si>
  <si>
    <t>VHF, UHF, SHF</t>
  </si>
  <si>
    <t>FOSSA Systems</t>
  </si>
  <si>
    <t>Spain</t>
  </si>
  <si>
    <t>Hydra Space Systems</t>
  </si>
  <si>
    <t>VHF, UHF</t>
  </si>
  <si>
    <t>UHF</t>
  </si>
  <si>
    <t>Quub, Inc.</t>
  </si>
  <si>
    <t>Headquartes</t>
  </si>
  <si>
    <t>Format (U)</t>
  </si>
  <si>
    <t>AAC Clyde Space</t>
  </si>
  <si>
    <t>VHF, UHF, S, X</t>
  </si>
  <si>
    <t>Alén Space</t>
  </si>
  <si>
    <t>VHF, UHF, S</t>
  </si>
  <si>
    <t>UHF, S, X, Ka, Ku</t>
  </si>
  <si>
    <t>Blue Canyon Technologies</t>
  </si>
  <si>
    <t>L, S, X</t>
  </si>
  <si>
    <t>Deimos Space</t>
  </si>
  <si>
    <t>UHF, X</t>
  </si>
  <si>
    <t>UHF, S, X</t>
  </si>
  <si>
    <t>LEO, MEO, GEO, xGEO</t>
  </si>
  <si>
    <t>Under Development</t>
  </si>
  <si>
    <t>GomSpace</t>
  </si>
  <si>
    <t>S</t>
  </si>
  <si>
    <t>GUMUSH AeroSpace</t>
  </si>
  <si>
    <t>Turkey</t>
  </si>
  <si>
    <t>Hex20</t>
  </si>
  <si>
    <t>Australia</t>
  </si>
  <si>
    <t>IMT</t>
  </si>
  <si>
    <t>ISISPACE</t>
  </si>
  <si>
    <t>Netherlands</t>
  </si>
  <si>
    <t>L, UHF, S, X</t>
  </si>
  <si>
    <t>VLEO, LEO</t>
  </si>
  <si>
    <t>UHF, S, X, Ka</t>
  </si>
  <si>
    <t>S, X, K, Ka, Optical</t>
  </si>
  <si>
    <t>Pumpkin Space Systems</t>
  </si>
  <si>
    <t>SkyLabs</t>
  </si>
  <si>
    <t>Slovenia</t>
  </si>
  <si>
    <t>Space Flight Laboratory</t>
  </si>
  <si>
    <t>Canada</t>
  </si>
  <si>
    <t>VHF, UHF, S, X, L</t>
  </si>
  <si>
    <t xml:space="preserve">Spacemanic </t>
  </si>
  <si>
    <t>UHF, L, S, X, Ka, Ku</t>
  </si>
  <si>
    <t>Argotec</t>
  </si>
  <si>
    <t>UHF, S, X, Ka, Ku, Optical</t>
  </si>
  <si>
    <t>S, X</t>
  </si>
  <si>
    <t>LEO, Deep Space</t>
  </si>
  <si>
    <t>VHF, UHF, S, C, X</t>
  </si>
  <si>
    <t>Pumpkin Space</t>
  </si>
  <si>
    <t>UHF, S, Ku</t>
  </si>
  <si>
    <t>Space Dynamics Laboratory</t>
  </si>
  <si>
    <t>LEO, GEO, GTO, Cislunar, Deep Space</t>
  </si>
  <si>
    <t>UHF, L, S, X. Ka, Ku</t>
  </si>
  <si>
    <t>VHF, UHF, S, X, K, Ka, Ku, Optical</t>
  </si>
  <si>
    <t>UHF, S, X, K/Ka</t>
  </si>
  <si>
    <t xml:space="preserve">Nara Space </t>
  </si>
  <si>
    <t>L, S, X, Ka </t>
  </si>
  <si>
    <t>LEO, GEO </t>
  </si>
  <si>
    <t>Space Information Laboratories</t>
  </si>
  <si>
    <t>S, X, Ka</t>
  </si>
  <si>
    <t>UHF, S, X, K, Ka</t>
  </si>
  <si>
    <t>GEO, Deep Space</t>
  </si>
  <si>
    <t>UHF, S, X, Ku, Ka, V, W, Optical</t>
  </si>
  <si>
    <t>LEO, Lunar, Deep Space</t>
  </si>
  <si>
    <t xml:space="preserve">NPC SPACEMIND </t>
  </si>
  <si>
    <t>L, S, X, Ka, Optical</t>
  </si>
  <si>
    <t>UHF, S, X, Ka, Optical</t>
  </si>
  <si>
    <t>VHF, UHF, S, X, L, Ka, Ku, QV</t>
  </si>
  <si>
    <t>S, X, Ka, Optical</t>
  </si>
  <si>
    <t>S, Ka, Optical</t>
  </si>
  <si>
    <t>MIL-Ka, Ka, Ku, Q, V, X</t>
  </si>
  <si>
    <t>MEO, GEO, Cislunar, Deep Space, Polar, High Inclination</t>
  </si>
  <si>
    <t>Deep Space</t>
  </si>
  <si>
    <t>S, X, C</t>
  </si>
  <si>
    <t>L, S, X, Ka</t>
  </si>
  <si>
    <t>S, L, Ka, Optical</t>
  </si>
  <si>
    <t>S, X, Optical</t>
  </si>
  <si>
    <t>S, X, iDRS</t>
  </si>
  <si>
    <t>LEO, GEO, GTO</t>
  </si>
  <si>
    <t>LEO, GEO, Lunar, Deep Space</t>
  </si>
  <si>
    <t>S, X, L</t>
  </si>
  <si>
    <t>UHF, X, Ka</t>
  </si>
  <si>
    <t>Mars</t>
  </si>
  <si>
    <t>LEO, GEO, HEO</t>
  </si>
  <si>
    <t>LEO, MEO, GEO, GTO, HEO, Lunar and Deep Space</t>
  </si>
  <si>
    <r>
      <t xml:space="preserve">S, X, </t>
    </r>
    <r>
      <rPr>
        <sz val="10"/>
        <color theme="1"/>
        <rFont val="Arial"/>
        <family val="2"/>
      </rPr>
      <t>Ka, Ku, Optical</t>
    </r>
  </si>
  <si>
    <t>X</t>
  </si>
  <si>
    <t>GEO, Lunar</t>
  </si>
  <si>
    <t>MEO, GEO, Lunar, Deep Space</t>
  </si>
  <si>
    <t>Lunar</t>
  </si>
  <si>
    <t>GEO, GTO, Lunar, Deep Space</t>
  </si>
  <si>
    <t>GEO, MEO, Lunar, Deep Space</t>
  </si>
  <si>
    <t>Lunar, Deep Space</t>
  </si>
  <si>
    <t>Flown</t>
  </si>
  <si>
    <t>Qualified</t>
  </si>
  <si>
    <t>MEO, GEO, Deep Space</t>
  </si>
  <si>
    <t>GEO, GTO</t>
  </si>
  <si>
    <t>GEO, Lunar, Deep Space</t>
  </si>
  <si>
    <t>LEO, GTO</t>
  </si>
  <si>
    <t>Airbus US Space &amp; Defense</t>
  </si>
  <si>
    <t>Apex Space</t>
  </si>
  <si>
    <t>Astroscale</t>
  </si>
  <si>
    <t>BAES</t>
  </si>
  <si>
    <t>CesiumAstro</t>
  </si>
  <si>
    <t>LeoStella</t>
  </si>
  <si>
    <t>Lockheed Martin</t>
  </si>
  <si>
    <t>Magellan Aerospace</t>
  </si>
  <si>
    <t>Malin Science Space Systems</t>
  </si>
  <si>
    <t>Moog</t>
  </si>
  <si>
    <t>Muon Space</t>
  </si>
  <si>
    <t>Reflex Aerospace</t>
  </si>
  <si>
    <t>UHF, S, L, X, Ka, Ku, Optical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</si>
</sst>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</font>
    <font>
      <b/>
      <sz val="11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theme="1"/>
      <name val="Arial"/>
      <family val="2"/>
    </font>
    <font>
      <sz val="10"/>
      <color theme="1"/>
      <name val="Times New Roman"/>
      <family val="1"/>
    </font>
    <font>
      <sz val="11"/>
      <color theme="1"/>
      <name val="Aptos Narrow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rgb="FF000000"/>
      </left>
      <right style="thick">
        <color rgb="FF000000"/>
      </right>
      <top style="thin">
        <color rgb="FFCCCCCC"/>
      </top>
      <bottom style="thick">
        <color rgb="FF000000"/>
      </bottom>
      <diagonal/>
    </border>
    <border>
      <left/>
      <right style="thick">
        <color rgb="FF000000"/>
      </right>
      <top style="thin">
        <color rgb="FFCCCCCC"/>
      </top>
      <bottom style="thick">
        <color rgb="FF000000"/>
      </bottom>
      <diagonal/>
    </border>
    <border>
      <left style="thin">
        <color rgb="FFCCCCCC"/>
      </left>
      <right style="thick">
        <color rgb="FF000000"/>
      </right>
      <top style="thin">
        <color rgb="FFCCCCCC"/>
      </top>
      <bottom style="thick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ck">
        <color rgb="FF000000"/>
      </left>
      <right/>
      <top/>
      <bottom/>
      <diagonal/>
    </border>
    <border>
      <left/>
      <right/>
      <top style="thin">
        <color rgb="FFCCCCC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3" xfId="0" applyFont="1" applyBorder="1" applyAlignment="1">
      <alignment wrapText="1" readingOrder="1"/>
    </xf>
    <xf numFmtId="0" fontId="1" fillId="0" borderId="2" xfId="0" applyFont="1" applyBorder="1" applyAlignment="1">
      <alignment wrapText="1" readingOrder="1"/>
    </xf>
    <xf numFmtId="0" fontId="1" fillId="0" borderId="1" xfId="0" applyFont="1" applyBorder="1" applyAlignment="1">
      <alignment wrapText="1" readingOrder="1"/>
    </xf>
    <xf numFmtId="0" fontId="3" fillId="0" borderId="3" xfId="0" applyFont="1" applyBorder="1" applyAlignment="1">
      <alignment wrapText="1" readingOrder="1"/>
    </xf>
    <xf numFmtId="0" fontId="4" fillId="0" borderId="3" xfId="0" applyFont="1" applyBorder="1" applyAlignment="1">
      <alignment wrapText="1" readingOrder="1"/>
    </xf>
    <xf numFmtId="0" fontId="4" fillId="0" borderId="2" xfId="0" applyFont="1" applyBorder="1" applyAlignment="1">
      <alignment wrapText="1" readingOrder="1"/>
    </xf>
    <xf numFmtId="0" fontId="4" fillId="0" borderId="1" xfId="0" applyFont="1" applyBorder="1" applyAlignment="1">
      <alignment wrapText="1" readingOrder="1"/>
    </xf>
    <xf numFmtId="3" fontId="4" fillId="0" borderId="3" xfId="0" applyNumberFormat="1" applyFont="1" applyBorder="1" applyAlignment="1">
      <alignment wrapText="1" readingOrder="1"/>
    </xf>
    <xf numFmtId="0" fontId="2" fillId="0" borderId="4" xfId="0" applyFont="1" applyBorder="1" applyAlignment="1">
      <alignment readingOrder="1"/>
    </xf>
    <xf numFmtId="0" fontId="5" fillId="0" borderId="3" xfId="0" applyFont="1" applyBorder="1" applyAlignment="1">
      <alignment wrapText="1" readingOrder="1"/>
    </xf>
    <xf numFmtId="0" fontId="6" fillId="0" borderId="1" xfId="0" applyFont="1" applyBorder="1" applyAlignment="1">
      <alignment wrapText="1" readingOrder="1"/>
    </xf>
    <xf numFmtId="0" fontId="6" fillId="0" borderId="3" xfId="0" applyFont="1" applyBorder="1" applyAlignment="1">
      <alignment wrapText="1" readingOrder="1"/>
    </xf>
    <xf numFmtId="3" fontId="6" fillId="0" borderId="3" xfId="0" applyNumberFormat="1" applyFont="1" applyBorder="1" applyAlignment="1">
      <alignment wrapText="1" readingOrder="1"/>
    </xf>
    <xf numFmtId="0" fontId="7" fillId="0" borderId="3" xfId="0" applyFont="1" applyBorder="1" applyAlignment="1">
      <alignment wrapText="1" readingOrder="1"/>
    </xf>
    <xf numFmtId="0" fontId="4" fillId="0" borderId="3" xfId="0" quotePrefix="1" applyFont="1" applyBorder="1" applyAlignment="1">
      <alignment wrapText="1" readingOrder="1"/>
    </xf>
    <xf numFmtId="0" fontId="2" fillId="0" borderId="5" xfId="0" applyFont="1" applyBorder="1" applyAlignment="1">
      <alignment readingOrder="1"/>
    </xf>
    <xf numFmtId="0" fontId="2" fillId="0" borderId="6" xfId="0" applyFont="1" applyBorder="1" applyAlignment="1">
      <alignment readingOrder="1"/>
    </xf>
    <xf numFmtId="0" fontId="6" fillId="0" borderId="2" xfId="0" applyFont="1" applyBorder="1" applyAlignment="1">
      <alignment wrapText="1" readingOrder="1"/>
    </xf>
    <xf numFmtId="0" fontId="2" fillId="0" borderId="7" xfId="0" applyFont="1" applyBorder="1" applyAlignment="1">
      <alignment readingOrder="1"/>
    </xf>
    <xf numFmtId="0" fontId="2" fillId="0" borderId="0" xfId="0" applyFont="1" applyAlignment="1">
      <alignment horizontal="center" readingOrder="1"/>
    </xf>
    <xf numFmtId="0" fontId="2" fillId="0" borderId="8" xfId="0" applyFont="1" applyBorder="1" applyAlignment="1">
      <alignment readingOrder="1"/>
    </xf>
    <xf numFmtId="0" fontId="2" fillId="0" borderId="0" xfId="0" applyFont="1" applyAlignment="1">
      <alignment readingOrder="1"/>
    </xf>
    <xf numFmtId="0" fontId="2" fillId="0" borderId="9" xfId="0" applyFont="1" applyBorder="1" applyAlignment="1">
      <alignment readingOrder="1"/>
    </xf>
    <xf numFmtId="0" fontId="3" fillId="0" borderId="10" xfId="0" applyFont="1" applyBorder="1" applyAlignment="1">
      <alignment wrapText="1" readingOrder="1"/>
    </xf>
    <xf numFmtId="0" fontId="1" fillId="0" borderId="10" xfId="0" applyFont="1" applyBorder="1" applyAlignment="1">
      <alignment wrapText="1" readingOrder="1"/>
    </xf>
    <xf numFmtId="0" fontId="4" fillId="0" borderId="10" xfId="0" applyFont="1" applyBorder="1" applyAlignment="1">
      <alignment wrapText="1" readingOrder="1"/>
    </xf>
    <xf numFmtId="0" fontId="4" fillId="0" borderId="10" xfId="0" applyFont="1" applyBorder="1" applyAlignment="1">
      <alignment horizontal="center" wrapText="1" readingOrder="1"/>
    </xf>
    <xf numFmtId="3" fontId="4" fillId="0" borderId="10" xfId="0" applyNumberFormat="1" applyFont="1" applyBorder="1" applyAlignment="1">
      <alignment wrapText="1" readingOrder="1"/>
    </xf>
    <xf numFmtId="0" fontId="5" fillId="0" borderId="10" xfId="0" applyFont="1" applyBorder="1" applyAlignment="1">
      <alignment wrapText="1" readingOrder="1"/>
    </xf>
    <xf numFmtId="0" fontId="3" fillId="0" borderId="11" xfId="0" applyFont="1" applyBorder="1" applyAlignment="1">
      <alignment wrapText="1" readingOrder="1"/>
    </xf>
    <xf numFmtId="0" fontId="1" fillId="0" borderId="12" xfId="0" applyFont="1" applyBorder="1" applyAlignment="1">
      <alignment wrapText="1" readingOrder="1"/>
    </xf>
    <xf numFmtId="0" fontId="4" fillId="0" borderId="11" xfId="0" applyFont="1" applyBorder="1" applyAlignment="1">
      <alignment wrapText="1" readingOrder="1"/>
    </xf>
    <xf numFmtId="0" fontId="4" fillId="0" borderId="12" xfId="0" applyFont="1" applyBorder="1" applyAlignment="1">
      <alignment wrapText="1" readingOrder="1"/>
    </xf>
    <xf numFmtId="0" fontId="5" fillId="0" borderId="11" xfId="0" applyFont="1" applyBorder="1" applyAlignment="1">
      <alignment wrapText="1" readingOrder="1"/>
    </xf>
    <xf numFmtId="0" fontId="4" fillId="0" borderId="13" xfId="0" applyFont="1" applyBorder="1" applyAlignment="1">
      <alignment wrapText="1" readingOrder="1"/>
    </xf>
    <xf numFmtId="0" fontId="4" fillId="0" borderId="14" xfId="0" applyFont="1" applyBorder="1" applyAlignment="1">
      <alignment wrapText="1" readingOrder="1"/>
    </xf>
    <xf numFmtId="0" fontId="4" fillId="0" borderId="15" xfId="0" applyFont="1" applyBorder="1" applyAlignment="1">
      <alignment wrapText="1" readingOrder="1"/>
    </xf>
    <xf numFmtId="0" fontId="3" fillId="0" borderId="16" xfId="0" applyFont="1" applyBorder="1" applyAlignment="1">
      <alignment wrapText="1" readingOrder="1"/>
    </xf>
    <xf numFmtId="0" fontId="1" fillId="0" borderId="16" xfId="0" applyFont="1" applyBorder="1" applyAlignment="1">
      <alignment wrapText="1" readingOrder="1"/>
    </xf>
    <xf numFmtId="0" fontId="4" fillId="0" borderId="16" xfId="0" applyFont="1" applyBorder="1" applyAlignment="1">
      <alignment wrapText="1" readingOrder="1"/>
    </xf>
    <xf numFmtId="3" fontId="4" fillId="0" borderId="16" xfId="0" applyNumberFormat="1" applyFont="1" applyBorder="1" applyAlignment="1">
      <alignment wrapText="1" readingOrder="1"/>
    </xf>
    <xf numFmtId="0" fontId="5" fillId="0" borderId="16" xfId="0" applyFont="1" applyBorder="1" applyAlignment="1">
      <alignment wrapText="1" readingOrder="1"/>
    </xf>
    <xf numFmtId="0" fontId="8" fillId="0" borderId="16" xfId="0" applyFont="1" applyBorder="1" applyAlignment="1">
      <alignment wrapText="1" readingOrder="1"/>
    </xf>
    <xf numFmtId="0" fontId="1" fillId="0" borderId="17" xfId="0" applyFont="1" applyBorder="1" applyAlignment="1">
      <alignment wrapText="1" readingOrder="1"/>
    </xf>
    <xf numFmtId="0" fontId="4" fillId="0" borderId="17" xfId="0" applyFont="1" applyBorder="1" applyAlignment="1">
      <alignment wrapText="1" readingOrder="1"/>
    </xf>
    <xf numFmtId="0" fontId="9" fillId="0" borderId="10" xfId="0" applyFont="1" applyBorder="1" applyAlignment="1">
      <alignment wrapText="1"/>
    </xf>
    <xf numFmtId="0" fontId="1" fillId="0" borderId="18" xfId="0" applyFont="1" applyBorder="1" applyAlignment="1">
      <alignment wrapText="1" readingOrder="1"/>
    </xf>
    <xf numFmtId="0" fontId="4" fillId="0" borderId="18" xfId="0" applyFont="1" applyBorder="1" applyAlignment="1">
      <alignment wrapText="1" readingOrder="1"/>
    </xf>
    <xf numFmtId="0" fontId="4" fillId="0" borderId="19" xfId="0" applyFont="1" applyBorder="1" applyAlignment="1">
      <alignment wrapText="1" readingOrder="1"/>
    </xf>
    <xf numFmtId="0" fontId="0" fillId="0" borderId="10" xfId="0" applyBorder="1"/>
    <xf numFmtId="0" fontId="4" fillId="0" borderId="20" xfId="0" applyFont="1" applyBorder="1" applyAlignment="1">
      <alignment wrapText="1" readingOrder="1"/>
    </xf>
    <xf numFmtId="3" fontId="4" fillId="0" borderId="20" xfId="0" applyNumberFormat="1" applyFont="1" applyBorder="1" applyAlignment="1">
      <alignment wrapText="1" readingOrder="1"/>
    </xf>
    <xf numFmtId="0" fontId="4" fillId="0" borderId="21" xfId="0" applyFont="1" applyBorder="1" applyAlignment="1">
      <alignment wrapText="1" readingOrder="1"/>
    </xf>
    <xf numFmtId="0" fontId="0" fillId="0" borderId="22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8"/>
  <sheetViews>
    <sheetView zoomScaleNormal="100" workbookViewId="0">
      <selection activeCell="N6" sqref="N6"/>
    </sheetView>
  </sheetViews>
  <sheetFormatPr defaultColWidth="8.85546875" defaultRowHeight="15" x14ac:dyDescent="0.25"/>
  <cols>
    <col min="1" max="1" width="15.42578125" bestFit="1" customWidth="1"/>
    <col min="2" max="2" width="13.140625" bestFit="1" customWidth="1"/>
    <col min="3" max="3" width="12" bestFit="1" customWidth="1"/>
    <col min="4" max="4" width="13.42578125" bestFit="1" customWidth="1"/>
    <col min="5" max="5" width="14.85546875" bestFit="1" customWidth="1"/>
    <col min="6" max="6" width="12.42578125" bestFit="1" customWidth="1"/>
    <col min="7" max="7" width="12.140625" bestFit="1" customWidth="1"/>
    <col min="8" max="8" width="14.85546875" bestFit="1" customWidth="1"/>
    <col min="9" max="9" width="9.42578125" bestFit="1" customWidth="1"/>
    <col min="11" max="11" width="6.42578125" bestFit="1" customWidth="1"/>
    <col min="12" max="12" width="8.42578125" bestFit="1" customWidth="1"/>
    <col min="13" max="13" width="8.85546875" bestFit="1" customWidth="1"/>
    <col min="14" max="14" width="8.7109375" bestFit="1" customWidth="1"/>
    <col min="15" max="15" width="8.85546875" bestFit="1" customWidth="1"/>
    <col min="16" max="16" width="6.28515625" bestFit="1" customWidth="1"/>
    <col min="19" max="19" width="6.42578125" bestFit="1" customWidth="1"/>
    <col min="20" max="20" width="8.85546875" bestFit="1" customWidth="1"/>
    <col min="22" max="23" width="8.85546875" bestFit="1" customWidth="1"/>
    <col min="24" max="24" width="6.28515625" bestFit="1" customWidth="1"/>
    <col min="26" max="26" width="10" bestFit="1" customWidth="1"/>
    <col min="27" max="27" width="6.42578125" bestFit="1" customWidth="1"/>
    <col min="28" max="28" width="8.85546875" bestFit="1" customWidth="1"/>
    <col min="30" max="31" width="8.85546875" bestFit="1" customWidth="1"/>
    <col min="32" max="32" width="6.28515625" bestFit="1" customWidth="1"/>
    <col min="35" max="35" width="6.42578125" bestFit="1" customWidth="1"/>
    <col min="36" max="36" width="8.85546875" bestFit="1" customWidth="1"/>
    <col min="38" max="39" width="8.85546875" bestFit="1" customWidth="1"/>
    <col min="40" max="40" width="6.28515625" bestFit="1" customWidth="1"/>
    <col min="43" max="43" width="7.42578125" bestFit="1" customWidth="1"/>
    <col min="44" max="44" width="6.42578125" bestFit="1" customWidth="1"/>
    <col min="45" max="45" width="8.85546875" bestFit="1" customWidth="1"/>
    <col min="47" max="47" width="9.7109375" bestFit="1" customWidth="1"/>
    <col min="48" max="48" width="8.85546875" bestFit="1" customWidth="1"/>
    <col min="49" max="49" width="6.28515625" bestFit="1" customWidth="1"/>
    <col min="52" max="52" width="7.42578125" bestFit="1" customWidth="1"/>
    <col min="53" max="53" width="8.85546875" bestFit="1" customWidth="1"/>
    <col min="56" max="56" width="8.85546875" bestFit="1" customWidth="1"/>
    <col min="57" max="57" width="6.28515625" bestFit="1" customWidth="1"/>
    <col min="61" max="61" width="4.42578125" bestFit="1" customWidth="1"/>
  </cols>
  <sheetData>
    <row r="1" spans="1:11" ht="60.75" thickBot="1" x14ac:dyDescent="0.3">
      <c r="A1" s="3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1"/>
      <c r="K1" s="22"/>
    </row>
    <row r="2" spans="1:11" x14ac:dyDescent="0.25">
      <c r="A2" s="3" t="s">
        <v>9</v>
      </c>
      <c r="B2" s="2" t="s">
        <v>9</v>
      </c>
      <c r="C2" s="1" t="s">
        <v>10</v>
      </c>
      <c r="D2" s="1" t="s">
        <v>10</v>
      </c>
      <c r="E2" s="1" t="s">
        <v>10</v>
      </c>
      <c r="F2" s="1" t="s">
        <v>10</v>
      </c>
      <c r="G2" s="1" t="s">
        <v>10</v>
      </c>
      <c r="H2" s="1" t="s">
        <v>11</v>
      </c>
      <c r="I2" s="1" t="s">
        <v>12</v>
      </c>
      <c r="J2" s="21"/>
      <c r="K2" s="22"/>
    </row>
    <row r="3" spans="1:11" ht="16.5" thickTop="1" thickBot="1" x14ac:dyDescent="0.3">
      <c r="A3" s="7" t="s">
        <v>13</v>
      </c>
      <c r="B3" s="6" t="s">
        <v>14</v>
      </c>
      <c r="C3" s="5">
        <v>0.125</v>
      </c>
      <c r="D3" s="5">
        <v>50</v>
      </c>
      <c r="E3" s="5">
        <v>300</v>
      </c>
      <c r="F3" s="5">
        <v>5.0000000000000001E-3</v>
      </c>
      <c r="G3" s="5">
        <v>5.0000000000000001E-3</v>
      </c>
      <c r="H3" s="5" t="s">
        <v>15</v>
      </c>
      <c r="I3" s="5">
        <v>1</v>
      </c>
      <c r="J3" s="21"/>
      <c r="K3" s="22"/>
    </row>
    <row r="4" spans="1:11" ht="40.5" thickTop="1" thickBot="1" x14ac:dyDescent="0.3">
      <c r="A4" s="7" t="s">
        <v>16</v>
      </c>
      <c r="B4" s="6" t="s">
        <v>17</v>
      </c>
      <c r="C4" s="5">
        <v>0.57999999999999996</v>
      </c>
      <c r="D4" s="5">
        <v>500</v>
      </c>
      <c r="E4" s="8">
        <v>1500</v>
      </c>
      <c r="F4" s="5">
        <v>0.01</v>
      </c>
      <c r="G4" s="5">
        <v>0.01</v>
      </c>
      <c r="H4" s="5" t="s">
        <v>18</v>
      </c>
      <c r="I4" s="5">
        <v>0</v>
      </c>
      <c r="J4" s="21"/>
      <c r="K4" s="22"/>
    </row>
    <row r="5" spans="1:11" ht="40.5" thickTop="1" thickBot="1" x14ac:dyDescent="0.3">
      <c r="A5" s="7" t="s">
        <v>19</v>
      </c>
      <c r="B5" s="6" t="s">
        <v>20</v>
      </c>
      <c r="C5" s="5">
        <v>0.02</v>
      </c>
      <c r="D5" s="5">
        <v>10</v>
      </c>
      <c r="E5" s="5">
        <v>300</v>
      </c>
      <c r="F5" s="5">
        <v>0.1</v>
      </c>
      <c r="G5" s="5">
        <v>0.09</v>
      </c>
      <c r="H5" s="5" t="s">
        <v>21</v>
      </c>
      <c r="I5" s="5">
        <v>1</v>
      </c>
      <c r="J5" s="21"/>
      <c r="K5" s="22"/>
    </row>
    <row r="6" spans="1:11" ht="16.5" thickTop="1" thickBot="1" x14ac:dyDescent="0.3">
      <c r="A6" s="7" t="s">
        <v>22</v>
      </c>
      <c r="B6" s="6" t="s">
        <v>20</v>
      </c>
      <c r="C6" s="5"/>
      <c r="D6" s="5"/>
      <c r="E6" s="5"/>
      <c r="F6" s="5"/>
      <c r="G6" s="5"/>
      <c r="H6" s="5"/>
      <c r="I6" s="5">
        <v>1</v>
      </c>
      <c r="J6" s="21"/>
      <c r="K6" s="22"/>
    </row>
    <row r="7" spans="1:11" ht="16.5" thickTop="1" thickBot="1" x14ac:dyDescent="0.3">
      <c r="A7" s="7" t="s">
        <v>23</v>
      </c>
      <c r="B7" s="6" t="s">
        <v>24</v>
      </c>
      <c r="C7" s="5">
        <v>0.2</v>
      </c>
      <c r="D7" s="5">
        <v>30</v>
      </c>
      <c r="E7" s="5">
        <v>184</v>
      </c>
      <c r="F7" s="5">
        <v>0.05</v>
      </c>
      <c r="G7" s="5">
        <v>0.04</v>
      </c>
      <c r="H7" s="5" t="s">
        <v>25</v>
      </c>
      <c r="I7" s="5">
        <v>0</v>
      </c>
      <c r="J7" s="21"/>
      <c r="K7" s="22"/>
    </row>
    <row r="8" spans="1:11" ht="27.75" thickTop="1" thickBot="1" x14ac:dyDescent="0.3">
      <c r="A8" s="7" t="s">
        <v>26</v>
      </c>
      <c r="B8" s="6" t="s">
        <v>27</v>
      </c>
      <c r="C8" s="5">
        <v>1</v>
      </c>
      <c r="D8" s="5">
        <v>250</v>
      </c>
      <c r="E8" s="8">
        <v>2500</v>
      </c>
      <c r="F8" s="5">
        <v>1.7000000000000001E-2</v>
      </c>
      <c r="G8" s="5">
        <v>1.7000000000000001E-2</v>
      </c>
      <c r="H8" s="5" t="s">
        <v>25</v>
      </c>
      <c r="I8" s="5">
        <v>1</v>
      </c>
      <c r="J8" s="21"/>
      <c r="K8" s="22"/>
    </row>
    <row r="9" spans="1:11" ht="27.75" thickTop="1" thickBot="1" x14ac:dyDescent="0.3">
      <c r="A9" s="7" t="s">
        <v>28</v>
      </c>
      <c r="B9" s="6" t="s">
        <v>29</v>
      </c>
      <c r="C9" s="5">
        <v>1.6500000000000001E-2</v>
      </c>
      <c r="D9" s="5">
        <v>18.5</v>
      </c>
      <c r="E9" s="5">
        <v>155</v>
      </c>
      <c r="F9" s="5">
        <v>0.2</v>
      </c>
      <c r="G9" s="5">
        <v>0.2</v>
      </c>
      <c r="H9" s="5" t="s">
        <v>30</v>
      </c>
      <c r="I9" s="5">
        <v>0</v>
      </c>
      <c r="J9" s="9"/>
    </row>
    <row r="10" spans="1:11" ht="27.75" thickTop="1" thickBot="1" x14ac:dyDescent="0.3">
      <c r="A10" s="7" t="s">
        <v>31</v>
      </c>
      <c r="B10" s="6" t="s">
        <v>32</v>
      </c>
      <c r="C10" s="5">
        <v>0.05</v>
      </c>
      <c r="D10" s="5">
        <v>100</v>
      </c>
      <c r="E10" s="5">
        <v>175</v>
      </c>
      <c r="F10" s="5">
        <v>1.4999999999999999E-2</v>
      </c>
      <c r="G10" s="5">
        <v>1.4999999999999999E-2</v>
      </c>
      <c r="H10" s="5" t="s">
        <v>33</v>
      </c>
      <c r="I10" s="5">
        <v>0</v>
      </c>
      <c r="J10" s="9"/>
    </row>
    <row r="11" spans="1:11" ht="16.5" thickTop="1" thickBot="1" x14ac:dyDescent="0.3">
      <c r="A11" s="7" t="s">
        <v>34</v>
      </c>
      <c r="B11" s="6" t="s">
        <v>35</v>
      </c>
      <c r="C11" s="5">
        <v>0.15</v>
      </c>
      <c r="D11" s="5">
        <v>70</v>
      </c>
      <c r="E11" s="5">
        <v>300</v>
      </c>
      <c r="F11" s="5">
        <v>0.1</v>
      </c>
      <c r="G11" s="5">
        <v>8.0000000000000002E-3</v>
      </c>
      <c r="H11" s="5" t="s">
        <v>25</v>
      </c>
      <c r="I11" s="5">
        <v>1</v>
      </c>
      <c r="J11" s="9"/>
    </row>
    <row r="12" spans="1:11" ht="27.75" thickTop="1" thickBot="1" x14ac:dyDescent="0.3">
      <c r="A12" s="7" t="s">
        <v>36</v>
      </c>
      <c r="B12" s="6" t="s">
        <v>20</v>
      </c>
      <c r="C12" s="5">
        <v>0.46</v>
      </c>
      <c r="D12" s="5">
        <v>200</v>
      </c>
      <c r="E12" s="5">
        <v>450</v>
      </c>
      <c r="F12" s="5">
        <v>0.03</v>
      </c>
      <c r="G12" s="5">
        <v>0.02</v>
      </c>
      <c r="H12" s="5" t="s">
        <v>25</v>
      </c>
      <c r="I12" s="5">
        <v>1</v>
      </c>
      <c r="J12" s="9"/>
    </row>
    <row r="13" spans="1:11" ht="27.75" thickTop="1" thickBot="1" x14ac:dyDescent="0.3">
      <c r="A13" s="7" t="s">
        <v>37</v>
      </c>
      <c r="B13" s="6" t="s">
        <v>27</v>
      </c>
      <c r="C13" s="5">
        <v>4.0000000000000001E-3</v>
      </c>
      <c r="D13" s="5">
        <v>8</v>
      </c>
      <c r="E13" s="5">
        <v>50</v>
      </c>
      <c r="F13" s="5">
        <v>1</v>
      </c>
      <c r="G13" s="5">
        <v>1</v>
      </c>
      <c r="H13" s="5" t="s">
        <v>25</v>
      </c>
      <c r="I13" s="5">
        <v>0</v>
      </c>
      <c r="J13" s="9"/>
    </row>
    <row r="14" spans="1:11" ht="16.5" thickTop="1" thickBot="1" x14ac:dyDescent="0.3">
      <c r="A14" s="7" t="s">
        <v>38</v>
      </c>
      <c r="B14" s="6" t="s">
        <v>39</v>
      </c>
      <c r="C14" s="5">
        <v>6.0000000000000001E-3</v>
      </c>
      <c r="D14" s="5">
        <v>12</v>
      </c>
      <c r="E14" s="5">
        <v>50</v>
      </c>
      <c r="F14" s="5">
        <v>2</v>
      </c>
      <c r="G14" s="5">
        <v>2</v>
      </c>
      <c r="H14" s="5" t="s">
        <v>40</v>
      </c>
      <c r="I14" s="5">
        <v>1</v>
      </c>
      <c r="J14" s="9"/>
    </row>
    <row r="15" spans="1:11" ht="27.75" thickTop="1" thickBot="1" x14ac:dyDescent="0.3">
      <c r="A15" s="7" t="s">
        <v>41</v>
      </c>
      <c r="B15" s="6" t="s">
        <v>42</v>
      </c>
      <c r="C15" s="5">
        <v>6.0000000000000001E-3</v>
      </c>
      <c r="D15" s="5">
        <v>28</v>
      </c>
      <c r="E15" s="5">
        <v>72</v>
      </c>
      <c r="F15" s="5">
        <v>0.1</v>
      </c>
      <c r="G15" s="5">
        <v>0.01</v>
      </c>
      <c r="H15" s="5" t="s">
        <v>43</v>
      </c>
      <c r="I15" s="5">
        <v>1</v>
      </c>
      <c r="J15" s="9"/>
    </row>
    <row r="16" spans="1:11" ht="27.75" thickTop="1" thickBot="1" x14ac:dyDescent="0.3">
      <c r="A16" s="7" t="s">
        <v>44</v>
      </c>
      <c r="B16" s="6" t="s">
        <v>45</v>
      </c>
      <c r="C16" s="5">
        <v>0.1</v>
      </c>
      <c r="D16" s="5">
        <v>35</v>
      </c>
      <c r="E16" s="5">
        <v>250</v>
      </c>
      <c r="F16" s="5">
        <v>0.03</v>
      </c>
      <c r="G16" s="5">
        <v>0.01</v>
      </c>
      <c r="H16" s="5" t="s">
        <v>46</v>
      </c>
      <c r="I16" s="5">
        <v>0</v>
      </c>
      <c r="J16" s="9"/>
    </row>
    <row r="17" spans="1:10" ht="16.5" thickTop="1" thickBot="1" x14ac:dyDescent="0.3">
      <c r="A17" s="7" t="s">
        <v>47</v>
      </c>
      <c r="B17" s="6" t="s">
        <v>48</v>
      </c>
      <c r="C17" s="5">
        <v>5.0000000000000001E-4</v>
      </c>
      <c r="D17" s="5">
        <v>0.5</v>
      </c>
      <c r="E17" s="5">
        <v>4</v>
      </c>
      <c r="F17" s="5">
        <v>15</v>
      </c>
      <c r="G17" s="5">
        <v>15</v>
      </c>
      <c r="H17" s="5" t="s">
        <v>25</v>
      </c>
      <c r="I17" s="5">
        <v>1</v>
      </c>
      <c r="J17" s="9"/>
    </row>
    <row r="18" spans="1:10" ht="16.5" thickTop="1" thickBot="1" x14ac:dyDescent="0.3">
      <c r="A18" s="7" t="s">
        <v>49</v>
      </c>
      <c r="B18" s="6" t="s">
        <v>20</v>
      </c>
      <c r="C18" s="5">
        <v>0.44</v>
      </c>
      <c r="D18" s="5">
        <v>85</v>
      </c>
      <c r="E18" s="8">
        <v>1000</v>
      </c>
      <c r="F18" s="5">
        <v>3.5000000000000003E-2</v>
      </c>
      <c r="G18" s="5">
        <v>0.03</v>
      </c>
      <c r="H18" s="5" t="s">
        <v>25</v>
      </c>
      <c r="I18" s="5">
        <v>1</v>
      </c>
      <c r="J18" s="9"/>
    </row>
    <row r="19" spans="1:10" ht="40.5" thickTop="1" thickBot="1" x14ac:dyDescent="0.3">
      <c r="A19" s="7" t="s">
        <v>50</v>
      </c>
      <c r="B19" s="6" t="s">
        <v>20</v>
      </c>
      <c r="C19" s="5">
        <v>1</v>
      </c>
      <c r="D19" s="5">
        <v>800</v>
      </c>
      <c r="E19" s="8">
        <v>3000</v>
      </c>
      <c r="F19" s="5">
        <v>8.0000000000000002E-3</v>
      </c>
      <c r="G19" s="5">
        <v>8.0000000000000002E-3</v>
      </c>
      <c r="H19" s="5" t="s">
        <v>51</v>
      </c>
      <c r="I19" s="5">
        <v>1</v>
      </c>
      <c r="J19" s="9"/>
    </row>
    <row r="20" spans="1:10" ht="16.5" thickTop="1" thickBot="1" x14ac:dyDescent="0.3">
      <c r="A20" s="7" t="s">
        <v>52</v>
      </c>
      <c r="B20" s="6" t="s">
        <v>53</v>
      </c>
      <c r="C20" s="5">
        <v>0.7</v>
      </c>
      <c r="D20" s="5">
        <v>150</v>
      </c>
      <c r="E20" s="5">
        <v>378</v>
      </c>
      <c r="F20" s="5">
        <v>0.15</v>
      </c>
      <c r="G20" s="5">
        <v>0.03</v>
      </c>
      <c r="H20" s="5" t="s">
        <v>25</v>
      </c>
      <c r="I20" s="5">
        <v>1</v>
      </c>
      <c r="J20" s="9"/>
    </row>
    <row r="21" spans="1:10" ht="16.5" thickTop="1" thickBot="1" x14ac:dyDescent="0.3">
      <c r="A21" s="7" t="s">
        <v>54</v>
      </c>
      <c r="B21" s="6" t="s">
        <v>55</v>
      </c>
      <c r="C21" s="5">
        <v>1.6E-2</v>
      </c>
      <c r="D21" s="5">
        <v>19</v>
      </c>
      <c r="E21" s="5">
        <v>120</v>
      </c>
      <c r="F21" s="5">
        <v>0.05</v>
      </c>
      <c r="G21" s="5">
        <v>0.03</v>
      </c>
      <c r="H21" s="5" t="s">
        <v>25</v>
      </c>
      <c r="I21" s="5">
        <v>0</v>
      </c>
      <c r="J21" s="9"/>
    </row>
    <row r="22" spans="1:10" ht="27.75" thickTop="1" thickBot="1" x14ac:dyDescent="0.3">
      <c r="A22" s="7" t="s">
        <v>56</v>
      </c>
      <c r="B22" s="6" t="s">
        <v>20</v>
      </c>
      <c r="C22" s="5">
        <v>8.0000000000000002E-3</v>
      </c>
      <c r="D22" s="5">
        <v>16</v>
      </c>
      <c r="E22" s="5">
        <v>160</v>
      </c>
      <c r="F22" s="5">
        <v>0.5</v>
      </c>
      <c r="G22" s="5">
        <v>0.2</v>
      </c>
      <c r="H22" s="5" t="s">
        <v>25</v>
      </c>
      <c r="I22" s="5">
        <v>1</v>
      </c>
      <c r="J22" s="9"/>
    </row>
    <row r="23" spans="1:10" ht="27.75" thickTop="1" thickBot="1" x14ac:dyDescent="0.3">
      <c r="A23" s="7" t="s">
        <v>57</v>
      </c>
      <c r="B23" s="6" t="s">
        <v>20</v>
      </c>
      <c r="C23" s="5">
        <v>0.37</v>
      </c>
      <c r="D23" s="5">
        <v>50</v>
      </c>
      <c r="E23" s="5">
        <v>420</v>
      </c>
      <c r="F23" s="5">
        <v>4</v>
      </c>
      <c r="G23" s="5">
        <v>1</v>
      </c>
      <c r="H23" s="5" t="s">
        <v>25</v>
      </c>
      <c r="I23" s="5">
        <v>1</v>
      </c>
      <c r="J23" s="9"/>
    </row>
    <row r="24" spans="1:10" ht="27.75" thickTop="1" thickBot="1" x14ac:dyDescent="0.3">
      <c r="A24" s="7" t="s">
        <v>58</v>
      </c>
      <c r="B24" s="6" t="s">
        <v>20</v>
      </c>
      <c r="C24" s="5">
        <v>1</v>
      </c>
      <c r="D24" s="5">
        <v>300</v>
      </c>
      <c r="E24" s="5">
        <v>2000</v>
      </c>
      <c r="F24" s="5">
        <v>2E-3</v>
      </c>
      <c r="G24" s="5">
        <v>4.0000000000000002E-4</v>
      </c>
      <c r="H24" s="5" t="s">
        <v>59</v>
      </c>
      <c r="I24" s="5">
        <v>1</v>
      </c>
      <c r="J24" s="9"/>
    </row>
    <row r="25" spans="1:10" ht="27.75" thickTop="1" thickBot="1" x14ac:dyDescent="0.3">
      <c r="A25" s="7" t="s">
        <v>60</v>
      </c>
      <c r="B25" s="6" t="s">
        <v>61</v>
      </c>
      <c r="C25" s="5">
        <v>1.2E-2</v>
      </c>
      <c r="D25" s="5">
        <v>24</v>
      </c>
      <c r="E25" s="5">
        <v>100</v>
      </c>
      <c r="F25" s="5">
        <v>0.1</v>
      </c>
      <c r="G25" s="5">
        <v>0.1</v>
      </c>
      <c r="H25" s="5" t="s">
        <v>30</v>
      </c>
      <c r="I25" s="5">
        <v>0</v>
      </c>
      <c r="J25" s="9"/>
    </row>
    <row r="26" spans="1:10" ht="30.75" thickTop="1" thickBot="1" x14ac:dyDescent="0.3">
      <c r="A26" s="11" t="s">
        <v>62</v>
      </c>
      <c r="B26" s="18" t="s">
        <v>63</v>
      </c>
      <c r="C26" s="12">
        <v>0.3</v>
      </c>
      <c r="D26" s="12">
        <v>90</v>
      </c>
      <c r="E26" s="12">
        <v>600</v>
      </c>
      <c r="F26" s="12">
        <v>2.1999999999999999E-2</v>
      </c>
      <c r="G26" s="12">
        <v>0.01</v>
      </c>
      <c r="H26" s="12" t="s">
        <v>25</v>
      </c>
      <c r="I26" s="12">
        <v>0</v>
      </c>
      <c r="J26" s="9"/>
    </row>
    <row r="27" spans="1:10" ht="16.5" thickTop="1" thickBot="1" x14ac:dyDescent="0.3">
      <c r="A27" s="11" t="s">
        <v>64</v>
      </c>
      <c r="B27" s="18" t="s">
        <v>65</v>
      </c>
      <c r="C27" s="12">
        <v>1</v>
      </c>
      <c r="D27" s="12">
        <v>300</v>
      </c>
      <c r="E27" s="13">
        <v>1500</v>
      </c>
      <c r="F27" s="5">
        <v>8.0000000000000002E-3</v>
      </c>
      <c r="G27" s="5">
        <v>8.0000000000000002E-3</v>
      </c>
      <c r="H27" s="12" t="s">
        <v>30</v>
      </c>
      <c r="I27" s="12">
        <v>0</v>
      </c>
      <c r="J27" s="9"/>
    </row>
    <row r="28" spans="1:10" ht="16.5" thickTop="1" thickBot="1" x14ac:dyDescent="0.3">
      <c r="A28" s="7" t="s">
        <v>66</v>
      </c>
      <c r="B28" s="6" t="s">
        <v>17</v>
      </c>
      <c r="C28" s="5">
        <v>1.2E-2</v>
      </c>
      <c r="D28" s="5">
        <v>18</v>
      </c>
      <c r="E28" s="5">
        <v>160</v>
      </c>
      <c r="F28" s="5">
        <v>0.03</v>
      </c>
      <c r="G28" s="5">
        <v>0.02</v>
      </c>
      <c r="H28" s="5" t="s">
        <v>25</v>
      </c>
      <c r="I28" s="5">
        <v>0</v>
      </c>
      <c r="J28" s="9"/>
    </row>
    <row r="29" spans="1:10" ht="40.5" thickTop="1" thickBot="1" x14ac:dyDescent="0.3">
      <c r="A29" s="7" t="s">
        <v>67</v>
      </c>
      <c r="B29" s="6" t="s">
        <v>17</v>
      </c>
      <c r="C29" s="5">
        <v>0.16300000000000001</v>
      </c>
      <c r="D29" s="5">
        <v>100</v>
      </c>
      <c r="E29" s="8">
        <v>5000</v>
      </c>
      <c r="F29" s="5">
        <v>0.05</v>
      </c>
      <c r="G29" s="5">
        <v>0.01</v>
      </c>
      <c r="H29" s="5" t="s">
        <v>68</v>
      </c>
      <c r="I29" s="5">
        <v>0</v>
      </c>
      <c r="J29" s="9"/>
    </row>
    <row r="30" spans="1:10" ht="27.75" thickTop="1" thickBot="1" x14ac:dyDescent="0.3">
      <c r="A30" s="7" t="s">
        <v>69</v>
      </c>
      <c r="B30" s="6" t="s">
        <v>20</v>
      </c>
      <c r="C30" s="5">
        <v>1.4E-2</v>
      </c>
      <c r="D30" s="5">
        <v>45</v>
      </c>
      <c r="E30" s="5">
        <v>400</v>
      </c>
      <c r="F30" s="5">
        <v>1</v>
      </c>
      <c r="G30" s="5">
        <v>1</v>
      </c>
      <c r="H30" s="5" t="s">
        <v>70</v>
      </c>
      <c r="I30" s="5">
        <v>1</v>
      </c>
      <c r="J30" s="9"/>
    </row>
    <row r="31" spans="1:10" ht="40.5" thickTop="1" thickBot="1" x14ac:dyDescent="0.3">
      <c r="A31" s="7" t="s">
        <v>71</v>
      </c>
      <c r="B31" s="6" t="s">
        <v>20</v>
      </c>
      <c r="C31" s="5">
        <v>0.5</v>
      </c>
      <c r="D31" s="5">
        <v>100</v>
      </c>
      <c r="E31" s="5">
        <v>400</v>
      </c>
      <c r="F31" s="5">
        <v>6.0000000000000001E-3</v>
      </c>
      <c r="G31" s="5">
        <v>6.0000000000000001E-3</v>
      </c>
      <c r="H31" s="5" t="s">
        <v>72</v>
      </c>
      <c r="I31" s="5">
        <v>1</v>
      </c>
      <c r="J31" s="9"/>
    </row>
    <row r="32" spans="1:10" ht="40.5" thickTop="1" thickBot="1" x14ac:dyDescent="0.3">
      <c r="A32" s="7" t="s">
        <v>73</v>
      </c>
      <c r="B32" s="6" t="s">
        <v>20</v>
      </c>
      <c r="C32" s="5">
        <v>0.94</v>
      </c>
      <c r="D32" s="5">
        <v>104</v>
      </c>
      <c r="E32" s="5">
        <v>500</v>
      </c>
      <c r="F32" s="5">
        <v>5.0000000000000001E-3</v>
      </c>
      <c r="G32" s="5">
        <v>1.6999999999999999E-3</v>
      </c>
      <c r="H32" s="5" t="s">
        <v>74</v>
      </c>
      <c r="I32" s="5">
        <v>1</v>
      </c>
      <c r="J32" s="9"/>
    </row>
    <row r="33" spans="1:10" ht="16.5" thickTop="1" thickBot="1" x14ac:dyDescent="0.3">
      <c r="A33" s="7" t="s">
        <v>75</v>
      </c>
      <c r="B33" s="6" t="s">
        <v>20</v>
      </c>
      <c r="C33" s="5"/>
      <c r="D33" s="5"/>
      <c r="E33" s="5"/>
      <c r="F33" s="5"/>
      <c r="G33" s="5"/>
      <c r="H33" s="5" t="s">
        <v>25</v>
      </c>
      <c r="I33" s="5">
        <v>1</v>
      </c>
      <c r="J33" s="9"/>
    </row>
    <row r="34" spans="1:10" ht="16.5" thickTop="1" thickBot="1" x14ac:dyDescent="0.3">
      <c r="A34" s="7" t="s">
        <v>76</v>
      </c>
      <c r="B34" s="6" t="s">
        <v>32</v>
      </c>
      <c r="C34" s="5">
        <v>3.0000000000000001E-3</v>
      </c>
      <c r="D34" s="5">
        <v>3</v>
      </c>
      <c r="E34" s="5">
        <v>25</v>
      </c>
      <c r="F34" s="14">
        <v>1</v>
      </c>
      <c r="G34" s="14">
        <v>0.6</v>
      </c>
      <c r="H34" s="5" t="s">
        <v>25</v>
      </c>
      <c r="I34" s="5">
        <v>0</v>
      </c>
      <c r="J34" s="9"/>
    </row>
    <row r="35" spans="1:10" ht="27.75" thickTop="1" thickBot="1" x14ac:dyDescent="0.3">
      <c r="A35" s="7" t="s">
        <v>77</v>
      </c>
      <c r="B35" s="6" t="s">
        <v>20</v>
      </c>
      <c r="C35" s="5">
        <v>0.48</v>
      </c>
      <c r="D35" s="5">
        <v>250</v>
      </c>
      <c r="E35" s="5">
        <v>500</v>
      </c>
      <c r="F35" s="5">
        <v>1E-3</v>
      </c>
      <c r="G35" s="5">
        <v>1E-3</v>
      </c>
      <c r="H35" s="5" t="s">
        <v>78</v>
      </c>
      <c r="I35" s="5">
        <v>1</v>
      </c>
      <c r="J35" s="9"/>
    </row>
    <row r="36" spans="1:10" ht="16.5" thickTop="1" thickBot="1" x14ac:dyDescent="0.3">
      <c r="A36" s="7" t="s">
        <v>79</v>
      </c>
      <c r="B36" s="6" t="s">
        <v>61</v>
      </c>
      <c r="C36" s="5">
        <v>0.9</v>
      </c>
      <c r="D36" s="5">
        <v>120</v>
      </c>
      <c r="E36" s="8">
        <v>2000</v>
      </c>
      <c r="F36" s="5">
        <v>1.6999999999999999E-3</v>
      </c>
      <c r="G36" s="5">
        <v>1E-3</v>
      </c>
      <c r="H36" s="5" t="s">
        <v>25</v>
      </c>
      <c r="I36" s="5">
        <v>0</v>
      </c>
      <c r="J36" s="9"/>
    </row>
    <row r="37" spans="1:10" ht="16.5" thickTop="1" thickBot="1" x14ac:dyDescent="0.3">
      <c r="A37" s="7" t="s">
        <v>80</v>
      </c>
      <c r="B37" s="6" t="s">
        <v>20</v>
      </c>
      <c r="C37" s="5"/>
      <c r="D37" s="5"/>
      <c r="E37" s="5"/>
      <c r="F37" s="5"/>
      <c r="G37" s="5"/>
      <c r="H37" s="5" t="s">
        <v>25</v>
      </c>
      <c r="I37" s="5">
        <v>1</v>
      </c>
      <c r="J37" s="9"/>
    </row>
    <row r="38" spans="1:10" ht="27.75" thickTop="1" thickBot="1" x14ac:dyDescent="0.3">
      <c r="A38" s="7" t="s">
        <v>81</v>
      </c>
      <c r="B38" s="6" t="s">
        <v>82</v>
      </c>
      <c r="C38" s="5">
        <v>2.4E-2</v>
      </c>
      <c r="D38" s="5">
        <v>50</v>
      </c>
      <c r="E38" s="5">
        <v>400</v>
      </c>
      <c r="F38" s="5">
        <v>8.0000000000000002E-3</v>
      </c>
      <c r="G38" s="5">
        <v>8.0000000000000002E-3</v>
      </c>
      <c r="H38" s="5" t="s">
        <v>83</v>
      </c>
      <c r="I38" s="5">
        <v>0</v>
      </c>
      <c r="J38" s="9"/>
    </row>
    <row r="39" spans="1:10" ht="27.75" thickTop="1" thickBot="1" x14ac:dyDescent="0.3">
      <c r="A39" s="7" t="s">
        <v>84</v>
      </c>
      <c r="B39" s="6" t="s">
        <v>85</v>
      </c>
      <c r="C39" s="5">
        <v>1.2E-2</v>
      </c>
      <c r="D39" s="5">
        <v>18</v>
      </c>
      <c r="E39" s="5">
        <v>500</v>
      </c>
      <c r="F39" s="5">
        <v>0.1</v>
      </c>
      <c r="G39" s="5">
        <v>0.05</v>
      </c>
      <c r="H39" s="5" t="s">
        <v>33</v>
      </c>
      <c r="I39" s="5">
        <v>0</v>
      </c>
      <c r="J39" s="9"/>
    </row>
    <row r="40" spans="1:10" ht="16.5" thickTop="1" thickBot="1" x14ac:dyDescent="0.3">
      <c r="A40" s="7" t="s">
        <v>86</v>
      </c>
      <c r="B40" s="6" t="s">
        <v>20</v>
      </c>
      <c r="C40" s="5">
        <v>1.2E-2</v>
      </c>
      <c r="D40" s="5">
        <v>32</v>
      </c>
      <c r="E40" s="5">
        <v>300</v>
      </c>
      <c r="F40" s="10">
        <v>0.1</v>
      </c>
      <c r="G40" s="10">
        <v>0.05</v>
      </c>
      <c r="H40" s="5" t="s">
        <v>25</v>
      </c>
      <c r="I40" s="5">
        <v>1</v>
      </c>
      <c r="J40" s="9"/>
    </row>
    <row r="41" spans="1:10" ht="27.75" thickTop="1" thickBot="1" x14ac:dyDescent="0.3">
      <c r="A41" s="7" t="s">
        <v>87</v>
      </c>
      <c r="B41" s="6" t="s">
        <v>17</v>
      </c>
      <c r="C41" s="10">
        <v>0.4</v>
      </c>
      <c r="D41" s="5">
        <v>200</v>
      </c>
      <c r="E41" s="8">
        <v>2000</v>
      </c>
      <c r="F41" s="10">
        <v>0.01</v>
      </c>
      <c r="G41" s="10">
        <v>0.01</v>
      </c>
      <c r="H41" s="5" t="s">
        <v>33</v>
      </c>
      <c r="I41" s="5">
        <v>0</v>
      </c>
      <c r="J41" s="9"/>
    </row>
    <row r="42" spans="1:10" ht="27.75" thickTop="1" thickBot="1" x14ac:dyDescent="0.3">
      <c r="A42" s="7" t="s">
        <v>88</v>
      </c>
      <c r="B42" s="6" t="s">
        <v>20</v>
      </c>
      <c r="C42" s="5">
        <v>1.2E-2</v>
      </c>
      <c r="D42" s="5">
        <v>100</v>
      </c>
      <c r="E42" s="5">
        <v>500</v>
      </c>
      <c r="F42" s="10">
        <v>1.4E-2</v>
      </c>
      <c r="G42" s="10">
        <v>2E-3</v>
      </c>
      <c r="H42" s="5" t="s">
        <v>89</v>
      </c>
      <c r="I42" s="5">
        <v>1</v>
      </c>
      <c r="J42" s="9"/>
    </row>
    <row r="43" spans="1:10" ht="27.75" thickTop="1" thickBot="1" x14ac:dyDescent="0.3">
      <c r="A43" s="7" t="s">
        <v>90</v>
      </c>
      <c r="B43" s="6" t="s">
        <v>20</v>
      </c>
      <c r="C43" s="5"/>
      <c r="D43" s="5"/>
      <c r="E43" s="5"/>
      <c r="F43" s="5"/>
      <c r="G43" s="5"/>
      <c r="H43" s="5"/>
      <c r="I43" s="5">
        <v>1</v>
      </c>
      <c r="J43" s="9"/>
    </row>
    <row r="44" spans="1:10" ht="27.75" thickTop="1" thickBot="1" x14ac:dyDescent="0.3">
      <c r="A44" s="7" t="s">
        <v>91</v>
      </c>
      <c r="B44" s="6" t="s">
        <v>20</v>
      </c>
      <c r="C44" s="5">
        <v>0.125</v>
      </c>
      <c r="D44" s="5">
        <v>55</v>
      </c>
      <c r="E44" s="5">
        <v>210</v>
      </c>
      <c r="F44" s="5">
        <v>0.17</v>
      </c>
      <c r="G44" s="5">
        <v>1.7999999999999999E-2</v>
      </c>
      <c r="H44" s="5" t="s">
        <v>92</v>
      </c>
      <c r="I44" s="5">
        <v>1</v>
      </c>
      <c r="J44" s="9"/>
    </row>
    <row r="45" spans="1:10" ht="27.75" thickTop="1" thickBot="1" x14ac:dyDescent="0.3">
      <c r="A45" s="7" t="s">
        <v>93</v>
      </c>
      <c r="B45" s="6" t="s">
        <v>20</v>
      </c>
      <c r="C45" s="15"/>
      <c r="D45" s="5">
        <v>300</v>
      </c>
      <c r="E45" s="8">
        <v>1500</v>
      </c>
      <c r="F45" s="5">
        <v>8.0000000000000002E-3</v>
      </c>
      <c r="G45" s="5">
        <v>4.0000000000000001E-3</v>
      </c>
      <c r="H45" s="5" t="s">
        <v>94</v>
      </c>
      <c r="I45" s="5">
        <v>1</v>
      </c>
      <c r="J45" s="9"/>
    </row>
    <row r="46" spans="1:10" ht="15.75" thickTop="1" x14ac:dyDescent="0.25">
      <c r="A46" s="16"/>
      <c r="B46" s="19"/>
      <c r="C46" s="9"/>
      <c r="D46" s="9"/>
      <c r="E46" s="9"/>
      <c r="F46" s="9"/>
      <c r="G46" s="9"/>
      <c r="H46" s="9"/>
      <c r="I46" s="9"/>
      <c r="J46" s="9"/>
    </row>
    <row r="47" spans="1:10" ht="15" customHeight="1" x14ac:dyDescent="0.25">
      <c r="A47" s="23"/>
      <c r="B47" s="23"/>
      <c r="C47" s="23"/>
      <c r="D47" s="23"/>
      <c r="E47" s="23"/>
      <c r="F47" s="23"/>
      <c r="G47" s="23"/>
      <c r="H47" s="23"/>
      <c r="I47" s="23"/>
      <c r="J47" s="23"/>
    </row>
    <row r="48" spans="1:10" ht="14.25" customHeight="1" x14ac:dyDescent="0.25">
      <c r="A48" s="22"/>
      <c r="B48" s="22"/>
      <c r="C48" s="22"/>
      <c r="D48" s="22"/>
      <c r="E48" s="22"/>
      <c r="F48" s="22"/>
      <c r="G48" s="22"/>
      <c r="H48" s="22"/>
      <c r="I48" s="22"/>
      <c r="J48" s="2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DA276-AB6D-48C4-BC41-1E1720C1DFA3}">
  <dimension ref="A1:J120"/>
  <sheetViews>
    <sheetView workbookViewId="0">
      <selection activeCell="H2" sqref="H2"/>
    </sheetView>
  </sheetViews>
  <sheetFormatPr defaultColWidth="8.85546875" defaultRowHeight="15" x14ac:dyDescent="0.25"/>
  <cols>
    <col min="1" max="2" width="10.140625" bestFit="1" customWidth="1"/>
    <col min="3" max="3" width="9.85546875" bestFit="1" customWidth="1"/>
    <col min="4" max="4" width="8.7109375" bestFit="1" customWidth="1"/>
    <col min="5" max="5" width="9.7109375" bestFit="1" customWidth="1"/>
    <col min="6" max="6" width="9.42578125" bestFit="1" customWidth="1"/>
    <col min="7" max="7" width="9.85546875" bestFit="1" customWidth="1"/>
    <col min="8" max="8" width="9.42578125" bestFit="1" customWidth="1"/>
  </cols>
  <sheetData>
    <row r="1" spans="1:10" ht="90.75" thickBot="1" x14ac:dyDescent="0.3">
      <c r="A1" s="4" t="s">
        <v>95</v>
      </c>
      <c r="B1" s="4" t="s">
        <v>1</v>
      </c>
      <c r="C1" s="1" t="s">
        <v>4</v>
      </c>
      <c r="D1" s="1" t="s">
        <v>5</v>
      </c>
      <c r="E1" s="1" t="s">
        <v>6</v>
      </c>
      <c r="F1" s="1" t="s">
        <v>96</v>
      </c>
      <c r="G1" s="1" t="s">
        <v>7</v>
      </c>
      <c r="H1" s="1" t="s">
        <v>8</v>
      </c>
      <c r="I1" s="22"/>
      <c r="J1" s="22"/>
    </row>
    <row r="2" spans="1:10" ht="16.5" thickTop="1" thickBot="1" x14ac:dyDescent="0.3">
      <c r="A2" s="4" t="s">
        <v>9</v>
      </c>
      <c r="B2" s="4" t="s">
        <v>9</v>
      </c>
      <c r="C2" s="1" t="s">
        <v>10</v>
      </c>
      <c r="D2" s="1" t="s">
        <v>10</v>
      </c>
      <c r="E2" s="1" t="s">
        <v>10</v>
      </c>
      <c r="F2" s="1" t="s">
        <v>11</v>
      </c>
      <c r="G2" s="1" t="s">
        <v>11</v>
      </c>
      <c r="H2" s="1" t="s">
        <v>12</v>
      </c>
      <c r="I2" s="22"/>
      <c r="J2" s="22"/>
    </row>
    <row r="3" spans="1:10" ht="27.75" thickTop="1" thickBot="1" x14ac:dyDescent="0.3">
      <c r="A3" s="5" t="s">
        <v>97</v>
      </c>
      <c r="B3" s="5" t="s">
        <v>17</v>
      </c>
      <c r="C3" s="5">
        <v>15</v>
      </c>
      <c r="D3" s="5">
        <v>5</v>
      </c>
      <c r="E3" s="5">
        <v>2</v>
      </c>
      <c r="F3" s="5" t="s">
        <v>98</v>
      </c>
      <c r="G3" s="5" t="s">
        <v>25</v>
      </c>
      <c r="H3" s="5">
        <v>1</v>
      </c>
      <c r="I3" s="22"/>
      <c r="J3" s="22"/>
    </row>
    <row r="4" spans="1:10" ht="40.5" thickTop="1" thickBot="1" x14ac:dyDescent="0.3">
      <c r="A4" s="5" t="s">
        <v>99</v>
      </c>
      <c r="B4" s="5" t="s">
        <v>48</v>
      </c>
      <c r="C4" s="5">
        <v>9</v>
      </c>
      <c r="D4" s="5">
        <v>5</v>
      </c>
      <c r="E4" s="5">
        <v>5</v>
      </c>
      <c r="F4" s="5" t="s">
        <v>100</v>
      </c>
      <c r="G4" s="5" t="s">
        <v>94</v>
      </c>
      <c r="H4" s="5">
        <v>0</v>
      </c>
      <c r="I4" s="22"/>
      <c r="J4" s="22"/>
    </row>
    <row r="5" spans="1:10" ht="27.75" thickTop="1" thickBot="1" x14ac:dyDescent="0.3">
      <c r="A5" s="5" t="s">
        <v>101</v>
      </c>
      <c r="B5" s="5" t="s">
        <v>102</v>
      </c>
      <c r="C5" s="5">
        <v>10</v>
      </c>
      <c r="D5" s="5">
        <v>5</v>
      </c>
      <c r="E5" s="5">
        <v>5</v>
      </c>
      <c r="F5" s="5" t="s">
        <v>98</v>
      </c>
      <c r="G5" s="5" t="s">
        <v>25</v>
      </c>
      <c r="H5" s="5">
        <v>0</v>
      </c>
      <c r="I5" s="22"/>
      <c r="J5" s="22"/>
    </row>
    <row r="6" spans="1:10" ht="40.5" thickTop="1" thickBot="1" x14ac:dyDescent="0.3">
      <c r="A6" s="5" t="s">
        <v>103</v>
      </c>
      <c r="B6" s="5" t="s">
        <v>102</v>
      </c>
      <c r="C6" s="5">
        <v>8</v>
      </c>
      <c r="D6" s="5">
        <v>5</v>
      </c>
      <c r="E6" s="5">
        <v>5</v>
      </c>
      <c r="F6" s="5" t="s">
        <v>104</v>
      </c>
      <c r="G6" s="5" t="s">
        <v>25</v>
      </c>
      <c r="H6" s="5">
        <v>0</v>
      </c>
      <c r="I6" s="22"/>
      <c r="J6" s="22"/>
    </row>
    <row r="7" spans="1:10" ht="27.75" thickTop="1" thickBot="1" x14ac:dyDescent="0.3">
      <c r="A7" s="5" t="s">
        <v>47</v>
      </c>
      <c r="B7" s="5" t="s">
        <v>48</v>
      </c>
      <c r="C7" s="5">
        <v>3.9</v>
      </c>
      <c r="D7" s="5"/>
      <c r="E7" s="5"/>
      <c r="F7" s="5" t="s">
        <v>105</v>
      </c>
      <c r="G7" s="5" t="s">
        <v>25</v>
      </c>
      <c r="H7" s="5">
        <v>1</v>
      </c>
      <c r="I7" s="22"/>
      <c r="J7" s="22"/>
    </row>
    <row r="8" spans="1:10" ht="27.75" thickTop="1" thickBot="1" x14ac:dyDescent="0.3">
      <c r="A8" s="5" t="s">
        <v>106</v>
      </c>
      <c r="B8" s="5" t="s">
        <v>20</v>
      </c>
      <c r="C8" s="5">
        <v>26</v>
      </c>
      <c r="D8" s="5">
        <v>5</v>
      </c>
      <c r="E8" s="5">
        <v>2</v>
      </c>
      <c r="F8" s="5" t="s">
        <v>98</v>
      </c>
      <c r="G8" s="5" t="s">
        <v>40</v>
      </c>
      <c r="H8" s="5">
        <v>1</v>
      </c>
      <c r="I8" s="22"/>
      <c r="J8" s="22"/>
    </row>
    <row r="9" spans="1:10" ht="15.75" thickTop="1" x14ac:dyDescent="0.25">
      <c r="A9" s="9"/>
      <c r="B9" s="9"/>
      <c r="C9" s="9"/>
      <c r="D9" s="9"/>
      <c r="E9" s="9"/>
      <c r="F9" s="9"/>
      <c r="G9" s="9"/>
      <c r="H9" s="9"/>
      <c r="I9" s="22"/>
      <c r="J9" s="22"/>
    </row>
    <row r="10" spans="1:10" x14ac:dyDescent="0.25">
      <c r="A10" s="9"/>
      <c r="B10" s="9"/>
      <c r="C10" s="9"/>
      <c r="D10" s="9"/>
      <c r="E10" s="9"/>
      <c r="F10" s="9"/>
      <c r="G10" s="9"/>
      <c r="H10" s="9"/>
      <c r="I10" s="22"/>
      <c r="J10" s="22"/>
    </row>
    <row r="11" spans="1:10" x14ac:dyDescent="0.25">
      <c r="A11" s="9"/>
      <c r="B11" s="9"/>
      <c r="C11" s="9"/>
      <c r="D11" s="9"/>
      <c r="E11" s="9"/>
      <c r="F11" s="9"/>
      <c r="G11" s="9"/>
      <c r="H11" s="9"/>
      <c r="I11" s="22"/>
      <c r="J11" s="22"/>
    </row>
    <row r="12" spans="1:10" x14ac:dyDescent="0.25">
      <c r="A12" s="9"/>
      <c r="B12" s="9"/>
      <c r="C12" s="9"/>
      <c r="D12" s="9"/>
      <c r="E12" s="9"/>
      <c r="F12" s="9"/>
      <c r="G12" s="9"/>
      <c r="H12" s="9"/>
      <c r="I12" s="22"/>
      <c r="J12" s="22"/>
    </row>
    <row r="13" spans="1:10" x14ac:dyDescent="0.25">
      <c r="A13" s="9"/>
      <c r="B13" s="9"/>
      <c r="C13" s="9"/>
      <c r="D13" s="9"/>
      <c r="E13" s="9"/>
      <c r="F13" s="9"/>
      <c r="G13" s="9"/>
      <c r="H13" s="9"/>
      <c r="I13" s="22"/>
      <c r="J13" s="22"/>
    </row>
    <row r="14" spans="1:10" x14ac:dyDescent="0.25">
      <c r="A14" s="9"/>
      <c r="B14" s="9"/>
      <c r="C14" s="9"/>
      <c r="D14" s="9"/>
      <c r="E14" s="9"/>
      <c r="F14" s="9"/>
      <c r="G14" s="9"/>
      <c r="H14" s="9"/>
      <c r="I14" s="22"/>
      <c r="J14" s="22"/>
    </row>
    <row r="15" spans="1:10" x14ac:dyDescent="0.25">
      <c r="A15" s="9"/>
      <c r="B15" s="9"/>
      <c r="C15" s="9"/>
      <c r="D15" s="9"/>
      <c r="E15" s="9"/>
      <c r="F15" s="9"/>
      <c r="G15" s="9"/>
      <c r="H15" s="9"/>
      <c r="I15" s="22"/>
      <c r="J15" s="22"/>
    </row>
    <row r="16" spans="1:10" x14ac:dyDescent="0.25">
      <c r="A16" s="9"/>
      <c r="B16" s="9"/>
      <c r="C16" s="9"/>
      <c r="D16" s="9"/>
      <c r="E16" s="9"/>
      <c r="F16" s="9"/>
      <c r="G16" s="9"/>
      <c r="H16" s="9"/>
      <c r="I16" s="22"/>
      <c r="J16" s="22"/>
    </row>
    <row r="17" spans="1:10" x14ac:dyDescent="0.25">
      <c r="A17" s="9"/>
      <c r="B17" s="9"/>
      <c r="C17" s="9"/>
      <c r="D17" s="9"/>
      <c r="E17" s="9"/>
      <c r="F17" s="9"/>
      <c r="G17" s="9"/>
      <c r="H17" s="9"/>
      <c r="I17" s="22"/>
      <c r="J17" s="22"/>
    </row>
    <row r="18" spans="1:10" x14ac:dyDescent="0.25">
      <c r="A18" s="9"/>
      <c r="B18" s="9"/>
      <c r="C18" s="9"/>
      <c r="D18" s="9"/>
      <c r="E18" s="9"/>
      <c r="F18" s="9"/>
      <c r="G18" s="9"/>
      <c r="H18" s="9"/>
      <c r="I18" s="22"/>
      <c r="J18" s="22"/>
    </row>
    <row r="19" spans="1:10" x14ac:dyDescent="0.25">
      <c r="A19" s="9"/>
      <c r="B19" s="9"/>
      <c r="C19" s="9"/>
      <c r="D19" s="9"/>
      <c r="E19" s="9"/>
      <c r="F19" s="9"/>
      <c r="G19" s="9"/>
      <c r="H19" s="9"/>
      <c r="I19" s="22"/>
      <c r="J19" s="22"/>
    </row>
    <row r="20" spans="1:10" x14ac:dyDescent="0.25">
      <c r="A20" s="9"/>
      <c r="B20" s="9"/>
      <c r="C20" s="9"/>
      <c r="D20" s="9"/>
      <c r="E20" s="9"/>
      <c r="F20" s="9"/>
      <c r="G20" s="9"/>
      <c r="H20" s="9"/>
      <c r="I20" s="22"/>
      <c r="J20" s="22"/>
    </row>
    <row r="21" spans="1:10" x14ac:dyDescent="0.25">
      <c r="A21" s="9"/>
      <c r="B21" s="9"/>
      <c r="C21" s="9"/>
      <c r="D21" s="9"/>
      <c r="E21" s="9"/>
      <c r="F21" s="9"/>
      <c r="G21" s="9"/>
      <c r="H21" s="9"/>
      <c r="I21" s="22"/>
      <c r="J21" s="22"/>
    </row>
    <row r="22" spans="1:10" x14ac:dyDescent="0.25">
      <c r="A22" s="9"/>
      <c r="B22" s="9"/>
      <c r="C22" s="9"/>
      <c r="D22" s="9"/>
      <c r="E22" s="9"/>
      <c r="F22" s="9"/>
      <c r="G22" s="9"/>
      <c r="H22" s="9"/>
      <c r="I22" s="22"/>
      <c r="J22" s="22"/>
    </row>
    <row r="23" spans="1:10" x14ac:dyDescent="0.25">
      <c r="A23" s="9"/>
      <c r="B23" s="9"/>
      <c r="C23" s="9"/>
      <c r="D23" s="9"/>
      <c r="E23" s="9"/>
      <c r="F23" s="9"/>
      <c r="G23" s="9"/>
      <c r="H23" s="9"/>
      <c r="I23" s="22"/>
      <c r="J23" s="22"/>
    </row>
    <row r="24" spans="1:10" x14ac:dyDescent="0.25">
      <c r="A24" s="9"/>
      <c r="B24" s="9"/>
      <c r="C24" s="9"/>
      <c r="D24" s="9"/>
      <c r="E24" s="9"/>
      <c r="F24" s="9"/>
      <c r="G24" s="9"/>
      <c r="H24" s="9"/>
      <c r="I24" s="22"/>
      <c r="J24" s="22"/>
    </row>
    <row r="25" spans="1:10" x14ac:dyDescent="0.25">
      <c r="A25" s="9"/>
      <c r="B25" s="9"/>
      <c r="C25" s="9"/>
      <c r="D25" s="9"/>
      <c r="E25" s="9"/>
      <c r="F25" s="9"/>
      <c r="G25" s="9"/>
      <c r="H25" s="9"/>
      <c r="I25" s="22"/>
      <c r="J25" s="22"/>
    </row>
    <row r="26" spans="1:10" x14ac:dyDescent="0.25">
      <c r="A26" s="9"/>
      <c r="B26" s="9"/>
      <c r="C26" s="9"/>
      <c r="D26" s="9"/>
      <c r="E26" s="9"/>
      <c r="F26" s="9"/>
      <c r="G26" s="9"/>
      <c r="H26" s="9"/>
      <c r="I26" s="22"/>
      <c r="J26" s="22"/>
    </row>
    <row r="27" spans="1:10" x14ac:dyDescent="0.25">
      <c r="A27" s="9"/>
      <c r="B27" s="9"/>
      <c r="C27" s="9"/>
      <c r="D27" s="9"/>
      <c r="E27" s="9"/>
      <c r="F27" s="9"/>
      <c r="G27" s="9"/>
      <c r="H27" s="9"/>
      <c r="I27" s="22"/>
      <c r="J27" s="22"/>
    </row>
    <row r="28" spans="1:10" x14ac:dyDescent="0.25">
      <c r="A28" s="9"/>
      <c r="B28" s="9"/>
      <c r="C28" s="9"/>
      <c r="D28" s="9"/>
      <c r="E28" s="9"/>
      <c r="F28" s="9"/>
      <c r="G28" s="9"/>
      <c r="H28" s="9"/>
      <c r="I28" s="22"/>
      <c r="J28" s="22"/>
    </row>
    <row r="29" spans="1:10" x14ac:dyDescent="0.25">
      <c r="A29" s="9"/>
      <c r="B29" s="9"/>
      <c r="C29" s="9"/>
      <c r="D29" s="9"/>
      <c r="E29" s="9"/>
      <c r="F29" s="9"/>
      <c r="G29" s="9"/>
      <c r="H29" s="9"/>
      <c r="I29" s="22"/>
      <c r="J29" s="22"/>
    </row>
    <row r="30" spans="1:10" x14ac:dyDescent="0.25">
      <c r="A30" s="9"/>
      <c r="B30" s="9"/>
      <c r="C30" s="9"/>
      <c r="D30" s="9"/>
      <c r="E30" s="9"/>
      <c r="F30" s="9"/>
      <c r="G30" s="9"/>
      <c r="H30" s="9"/>
      <c r="I30" s="22"/>
      <c r="J30" s="22"/>
    </row>
    <row r="31" spans="1:10" x14ac:dyDescent="0.25">
      <c r="A31" s="9"/>
      <c r="B31" s="9"/>
      <c r="C31" s="9"/>
      <c r="D31" s="9"/>
      <c r="E31" s="9"/>
      <c r="F31" s="9"/>
      <c r="G31" s="9"/>
      <c r="H31" s="9"/>
      <c r="I31" s="22"/>
      <c r="J31" s="22"/>
    </row>
    <row r="32" spans="1:10" x14ac:dyDescent="0.25">
      <c r="A32" s="9"/>
      <c r="B32" s="9"/>
      <c r="C32" s="9"/>
      <c r="D32" s="9"/>
      <c r="E32" s="9"/>
      <c r="F32" s="9"/>
      <c r="G32" s="9"/>
      <c r="H32" s="9"/>
      <c r="I32" s="22"/>
      <c r="J32" s="22"/>
    </row>
    <row r="33" spans="1:10" x14ac:dyDescent="0.25">
      <c r="A33" s="9"/>
      <c r="B33" s="9"/>
      <c r="C33" s="9"/>
      <c r="D33" s="9"/>
      <c r="E33" s="9"/>
      <c r="F33" s="9"/>
      <c r="G33" s="9"/>
      <c r="H33" s="9"/>
      <c r="I33" s="22"/>
      <c r="J33" s="22"/>
    </row>
    <row r="34" spans="1:10" x14ac:dyDescent="0.25">
      <c r="A34" s="9"/>
      <c r="B34" s="9"/>
      <c r="C34" s="9"/>
      <c r="D34" s="9"/>
      <c r="E34" s="9"/>
      <c r="F34" s="9"/>
      <c r="G34" s="9"/>
      <c r="H34" s="9"/>
      <c r="I34" s="22"/>
      <c r="J34" s="22"/>
    </row>
    <row r="35" spans="1:10" x14ac:dyDescent="0.25">
      <c r="A35" s="9"/>
      <c r="B35" s="9"/>
      <c r="C35" s="9"/>
      <c r="D35" s="9"/>
      <c r="E35" s="9"/>
      <c r="F35" s="9"/>
      <c r="G35" s="9"/>
      <c r="H35" s="9"/>
      <c r="I35" s="22"/>
      <c r="J35" s="22"/>
    </row>
    <row r="36" spans="1:10" x14ac:dyDescent="0.25">
      <c r="A36" s="9"/>
      <c r="B36" s="9"/>
      <c r="C36" s="9"/>
      <c r="D36" s="9"/>
      <c r="E36" s="9"/>
      <c r="F36" s="9"/>
      <c r="G36" s="9"/>
      <c r="H36" s="9"/>
      <c r="I36" s="22"/>
      <c r="J36" s="22"/>
    </row>
    <row r="37" spans="1:10" x14ac:dyDescent="0.25">
      <c r="A37" s="9"/>
      <c r="B37" s="9"/>
      <c r="C37" s="9"/>
      <c r="D37" s="9"/>
      <c r="E37" s="9"/>
      <c r="F37" s="9"/>
      <c r="G37" s="9"/>
      <c r="H37" s="9"/>
      <c r="I37" s="22"/>
      <c r="J37" s="22"/>
    </row>
    <row r="38" spans="1:10" x14ac:dyDescent="0.25">
      <c r="A38" s="9"/>
      <c r="B38" s="9"/>
      <c r="C38" s="9"/>
      <c r="D38" s="9"/>
      <c r="E38" s="9"/>
      <c r="F38" s="9"/>
      <c r="G38" s="9"/>
      <c r="H38" s="9"/>
      <c r="I38" s="22"/>
      <c r="J38" s="22"/>
    </row>
    <row r="39" spans="1:10" x14ac:dyDescent="0.25">
      <c r="A39" s="9"/>
      <c r="B39" s="9"/>
      <c r="C39" s="9"/>
      <c r="D39" s="9"/>
      <c r="E39" s="9"/>
      <c r="F39" s="9"/>
      <c r="G39" s="9"/>
      <c r="H39" s="9"/>
      <c r="I39" s="22"/>
      <c r="J39" s="22"/>
    </row>
    <row r="40" spans="1:10" x14ac:dyDescent="0.25">
      <c r="A40" s="9"/>
      <c r="B40" s="9"/>
      <c r="C40" s="9"/>
      <c r="D40" s="9"/>
      <c r="E40" s="9"/>
      <c r="F40" s="9"/>
      <c r="G40" s="9"/>
      <c r="H40" s="9"/>
      <c r="I40" s="22"/>
      <c r="J40" s="22"/>
    </row>
    <row r="41" spans="1:10" x14ac:dyDescent="0.25">
      <c r="A41" s="9"/>
      <c r="B41" s="9"/>
      <c r="C41" s="9"/>
      <c r="D41" s="9"/>
      <c r="E41" s="9"/>
      <c r="F41" s="9"/>
      <c r="G41" s="9"/>
      <c r="H41" s="9"/>
      <c r="I41" s="22"/>
      <c r="J41" s="22"/>
    </row>
    <row r="42" spans="1:10" x14ac:dyDescent="0.25">
      <c r="A42" s="9"/>
      <c r="B42" s="9"/>
      <c r="C42" s="9"/>
      <c r="D42" s="9"/>
      <c r="E42" s="9"/>
      <c r="F42" s="9"/>
      <c r="G42" s="9"/>
      <c r="H42" s="9"/>
      <c r="I42" s="22"/>
      <c r="J42" s="22"/>
    </row>
    <row r="43" spans="1:10" x14ac:dyDescent="0.25">
      <c r="A43" s="9"/>
      <c r="B43" s="9"/>
      <c r="C43" s="9"/>
      <c r="D43" s="9"/>
      <c r="E43" s="9"/>
      <c r="F43" s="9"/>
      <c r="G43" s="9"/>
      <c r="H43" s="9"/>
      <c r="I43" s="22"/>
      <c r="J43" s="22"/>
    </row>
    <row r="44" spans="1:10" x14ac:dyDescent="0.25">
      <c r="A44" s="9"/>
      <c r="B44" s="9"/>
      <c r="C44" s="9"/>
      <c r="D44" s="9"/>
      <c r="E44" s="9"/>
      <c r="F44" s="9"/>
      <c r="G44" s="9"/>
      <c r="H44" s="9"/>
      <c r="I44" s="22"/>
      <c r="J44" s="22"/>
    </row>
    <row r="45" spans="1:10" x14ac:dyDescent="0.25">
      <c r="A45" s="9"/>
      <c r="B45" s="9"/>
      <c r="C45" s="9"/>
      <c r="D45" s="9"/>
      <c r="E45" s="9"/>
      <c r="F45" s="9"/>
      <c r="G45" s="9"/>
      <c r="H45" s="9"/>
      <c r="I45" s="22"/>
      <c r="J45" s="22"/>
    </row>
    <row r="46" spans="1:10" x14ac:dyDescent="0.25">
      <c r="A46" s="9"/>
      <c r="B46" s="9"/>
      <c r="C46" s="9"/>
      <c r="D46" s="9"/>
      <c r="E46" s="9"/>
      <c r="F46" s="9"/>
      <c r="G46" s="9"/>
      <c r="H46" s="9"/>
      <c r="I46" s="22"/>
      <c r="J46" s="22"/>
    </row>
    <row r="47" spans="1:10" x14ac:dyDescent="0.25">
      <c r="A47" s="17"/>
      <c r="B47" s="17"/>
      <c r="C47" s="17"/>
      <c r="D47" s="17"/>
      <c r="E47" s="17"/>
      <c r="F47" s="17"/>
      <c r="G47" s="17"/>
      <c r="H47" s="17"/>
      <c r="I47" s="22"/>
      <c r="J47" s="22"/>
    </row>
    <row r="48" spans="1:10" ht="14.25" customHeight="1" x14ac:dyDescent="0.25">
      <c r="I48" s="22"/>
      <c r="J48" s="22"/>
    </row>
    <row r="49" spans="9:10" ht="14.25" customHeight="1" x14ac:dyDescent="0.25">
      <c r="I49" s="22"/>
      <c r="J49" s="22"/>
    </row>
    <row r="50" spans="9:10" ht="14.25" customHeight="1" x14ac:dyDescent="0.25">
      <c r="I50" s="22"/>
      <c r="J50" s="22"/>
    </row>
    <row r="51" spans="9:10" ht="14.25" customHeight="1" x14ac:dyDescent="0.25">
      <c r="I51" s="22"/>
      <c r="J51" s="22"/>
    </row>
    <row r="52" spans="9:10" ht="14.25" customHeight="1" x14ac:dyDescent="0.25">
      <c r="I52" s="22"/>
      <c r="J52" s="22"/>
    </row>
    <row r="53" spans="9:10" ht="14.25" customHeight="1" x14ac:dyDescent="0.25">
      <c r="I53" s="22"/>
      <c r="J53" s="22"/>
    </row>
    <row r="54" spans="9:10" ht="14.25" customHeight="1" x14ac:dyDescent="0.25">
      <c r="I54" s="22"/>
      <c r="J54" s="22"/>
    </row>
    <row r="55" spans="9:10" ht="14.25" customHeight="1" x14ac:dyDescent="0.25">
      <c r="I55" s="22"/>
      <c r="J55" s="22"/>
    </row>
    <row r="56" spans="9:10" ht="14.25" customHeight="1" x14ac:dyDescent="0.25">
      <c r="I56" s="22"/>
      <c r="J56" s="22"/>
    </row>
    <row r="57" spans="9:10" ht="14.25" customHeight="1" x14ac:dyDescent="0.25">
      <c r="I57" s="22"/>
      <c r="J57" s="22"/>
    </row>
    <row r="58" spans="9:10" ht="14.25" customHeight="1" x14ac:dyDescent="0.25">
      <c r="I58" s="22"/>
      <c r="J58" s="22"/>
    </row>
    <row r="59" spans="9:10" ht="14.25" customHeight="1" x14ac:dyDescent="0.25">
      <c r="I59" s="22"/>
      <c r="J59" s="22"/>
    </row>
    <row r="60" spans="9:10" ht="14.25" customHeight="1" x14ac:dyDescent="0.25">
      <c r="I60" s="22"/>
      <c r="J60" s="22"/>
    </row>
    <row r="61" spans="9:10" ht="14.25" customHeight="1" x14ac:dyDescent="0.25">
      <c r="I61" s="22"/>
      <c r="J61" s="22"/>
    </row>
    <row r="62" spans="9:10" ht="14.25" customHeight="1" x14ac:dyDescent="0.25">
      <c r="I62" s="22"/>
      <c r="J62" s="22"/>
    </row>
    <row r="63" spans="9:10" ht="14.25" customHeight="1" x14ac:dyDescent="0.25">
      <c r="I63" s="22"/>
      <c r="J63" s="22"/>
    </row>
    <row r="64" spans="9:10" ht="14.25" customHeight="1" x14ac:dyDescent="0.25">
      <c r="I64" s="22"/>
      <c r="J64" s="22"/>
    </row>
    <row r="65" spans="9:10" ht="14.25" customHeight="1" x14ac:dyDescent="0.25">
      <c r="I65" s="22"/>
      <c r="J65" s="22"/>
    </row>
    <row r="66" spans="9:10" ht="14.25" customHeight="1" x14ac:dyDescent="0.25">
      <c r="I66" s="22"/>
      <c r="J66" s="22"/>
    </row>
    <row r="67" spans="9:10" ht="14.25" customHeight="1" x14ac:dyDescent="0.25">
      <c r="I67" s="22"/>
      <c r="J67" s="22"/>
    </row>
    <row r="68" spans="9:10" ht="14.25" customHeight="1" x14ac:dyDescent="0.25">
      <c r="I68" s="22"/>
      <c r="J68" s="22"/>
    </row>
    <row r="69" spans="9:10" ht="14.25" customHeight="1" x14ac:dyDescent="0.25">
      <c r="I69" s="22"/>
      <c r="J69" s="22"/>
    </row>
    <row r="70" spans="9:10" ht="14.25" customHeight="1" x14ac:dyDescent="0.25">
      <c r="I70" s="22"/>
      <c r="J70" s="22"/>
    </row>
    <row r="71" spans="9:10" ht="14.25" customHeight="1" x14ac:dyDescent="0.25">
      <c r="I71" s="22"/>
      <c r="J71" s="22"/>
    </row>
    <row r="72" spans="9:10" ht="14.25" customHeight="1" x14ac:dyDescent="0.25">
      <c r="I72" s="22"/>
      <c r="J72" s="22"/>
    </row>
    <row r="73" spans="9:10" ht="14.25" customHeight="1" x14ac:dyDescent="0.25">
      <c r="I73" s="22"/>
      <c r="J73" s="22"/>
    </row>
    <row r="74" spans="9:10" ht="14.25" customHeight="1" x14ac:dyDescent="0.25">
      <c r="I74" s="22"/>
      <c r="J74" s="22"/>
    </row>
    <row r="75" spans="9:10" ht="14.25" customHeight="1" x14ac:dyDescent="0.25">
      <c r="I75" s="22"/>
      <c r="J75" s="22"/>
    </row>
    <row r="76" spans="9:10" ht="14.25" customHeight="1" x14ac:dyDescent="0.25">
      <c r="I76" s="22"/>
      <c r="J76" s="22"/>
    </row>
    <row r="77" spans="9:10" ht="14.25" customHeight="1" x14ac:dyDescent="0.25">
      <c r="I77" s="22"/>
      <c r="J77" s="22"/>
    </row>
    <row r="78" spans="9:10" ht="14.25" customHeight="1" x14ac:dyDescent="0.25">
      <c r="I78" s="22"/>
      <c r="J78" s="22"/>
    </row>
    <row r="79" spans="9:10" ht="14.25" customHeight="1" x14ac:dyDescent="0.25">
      <c r="I79" s="22"/>
      <c r="J79" s="22"/>
    </row>
    <row r="80" spans="9:10" ht="14.25" customHeight="1" x14ac:dyDescent="0.25">
      <c r="I80" s="22"/>
      <c r="J80" s="22"/>
    </row>
    <row r="81" spans="9:10" ht="14.25" customHeight="1" x14ac:dyDescent="0.25">
      <c r="I81" s="22"/>
      <c r="J81" s="22"/>
    </row>
    <row r="82" spans="9:10" ht="14.25" customHeight="1" x14ac:dyDescent="0.25">
      <c r="I82" s="22"/>
      <c r="J82" s="22"/>
    </row>
    <row r="83" spans="9:10" ht="14.25" customHeight="1" x14ac:dyDescent="0.25">
      <c r="I83" s="22"/>
      <c r="J83" s="22"/>
    </row>
    <row r="84" spans="9:10" ht="14.25" customHeight="1" x14ac:dyDescent="0.25">
      <c r="I84" s="22"/>
      <c r="J84" s="22"/>
    </row>
    <row r="85" spans="9:10" ht="14.25" customHeight="1" x14ac:dyDescent="0.25">
      <c r="I85" s="22"/>
      <c r="J85" s="22"/>
    </row>
    <row r="86" spans="9:10" ht="14.25" customHeight="1" x14ac:dyDescent="0.25">
      <c r="I86" s="22"/>
      <c r="J86" s="22"/>
    </row>
    <row r="87" spans="9:10" ht="14.25" customHeight="1" x14ac:dyDescent="0.25">
      <c r="I87" s="22"/>
      <c r="J87" s="22"/>
    </row>
    <row r="88" spans="9:10" ht="14.25" customHeight="1" x14ac:dyDescent="0.25">
      <c r="I88" s="22"/>
      <c r="J88" s="22"/>
    </row>
    <row r="89" spans="9:10" ht="14.25" customHeight="1" x14ac:dyDescent="0.25">
      <c r="I89" s="22"/>
      <c r="J89" s="22"/>
    </row>
    <row r="90" spans="9:10" ht="14.25" customHeight="1" x14ac:dyDescent="0.25">
      <c r="I90" s="22"/>
      <c r="J90" s="22"/>
    </row>
    <row r="91" spans="9:10" ht="14.25" customHeight="1" x14ac:dyDescent="0.25">
      <c r="I91" s="22"/>
      <c r="J91" s="22"/>
    </row>
    <row r="92" spans="9:10" ht="14.25" customHeight="1" x14ac:dyDescent="0.25">
      <c r="I92" s="22"/>
      <c r="J92" s="22"/>
    </row>
    <row r="93" spans="9:10" ht="14.25" customHeight="1" x14ac:dyDescent="0.25">
      <c r="I93" s="22"/>
      <c r="J93" s="22"/>
    </row>
    <row r="94" spans="9:10" ht="14.25" customHeight="1" x14ac:dyDescent="0.25">
      <c r="I94" s="22"/>
      <c r="J94" s="22"/>
    </row>
    <row r="95" spans="9:10" ht="14.25" customHeight="1" x14ac:dyDescent="0.25">
      <c r="I95" s="22"/>
      <c r="J95" s="22"/>
    </row>
    <row r="96" spans="9:10" ht="14.25" customHeight="1" x14ac:dyDescent="0.25">
      <c r="I96" s="22"/>
      <c r="J96" s="22"/>
    </row>
    <row r="97" spans="9:10" ht="14.25" customHeight="1" x14ac:dyDescent="0.25">
      <c r="I97" s="22"/>
      <c r="J97" s="22"/>
    </row>
    <row r="98" spans="9:10" ht="14.25" customHeight="1" x14ac:dyDescent="0.25">
      <c r="I98" s="22"/>
      <c r="J98" s="22"/>
    </row>
    <row r="99" spans="9:10" ht="14.25" customHeight="1" x14ac:dyDescent="0.25">
      <c r="I99" s="22"/>
      <c r="J99" s="22"/>
    </row>
    <row r="100" spans="9:10" ht="14.25" customHeight="1" x14ac:dyDescent="0.25">
      <c r="I100" s="22"/>
      <c r="J100" s="22"/>
    </row>
    <row r="101" spans="9:10" ht="14.25" customHeight="1" x14ac:dyDescent="0.25">
      <c r="I101" s="22"/>
      <c r="J101" s="22"/>
    </row>
    <row r="102" spans="9:10" ht="14.25" customHeight="1" x14ac:dyDescent="0.25">
      <c r="I102" s="22"/>
      <c r="J102" s="22"/>
    </row>
    <row r="103" spans="9:10" ht="14.25" customHeight="1" x14ac:dyDescent="0.25">
      <c r="I103" s="22"/>
      <c r="J103" s="22"/>
    </row>
    <row r="104" spans="9:10" ht="14.25" customHeight="1" x14ac:dyDescent="0.25">
      <c r="I104" s="22"/>
      <c r="J104" s="22"/>
    </row>
    <row r="105" spans="9:10" ht="14.25" customHeight="1" x14ac:dyDescent="0.25">
      <c r="I105" s="22"/>
      <c r="J105" s="22"/>
    </row>
    <row r="106" spans="9:10" ht="14.25" customHeight="1" x14ac:dyDescent="0.25">
      <c r="I106" s="22"/>
      <c r="J106" s="22"/>
    </row>
    <row r="107" spans="9:10" ht="14.25" customHeight="1" x14ac:dyDescent="0.25">
      <c r="I107" s="22"/>
      <c r="J107" s="22"/>
    </row>
    <row r="108" spans="9:10" ht="14.25" customHeight="1" x14ac:dyDescent="0.25">
      <c r="I108" s="22"/>
      <c r="J108" s="22"/>
    </row>
    <row r="109" spans="9:10" ht="14.25" customHeight="1" x14ac:dyDescent="0.25">
      <c r="I109" s="22"/>
      <c r="J109" s="22"/>
    </row>
    <row r="110" spans="9:10" ht="14.25" customHeight="1" x14ac:dyDescent="0.25">
      <c r="I110" s="22"/>
      <c r="J110" s="22"/>
    </row>
    <row r="111" spans="9:10" ht="14.25" customHeight="1" x14ac:dyDescent="0.25">
      <c r="I111" s="22"/>
      <c r="J111" s="22"/>
    </row>
    <row r="112" spans="9:10" ht="14.25" customHeight="1" x14ac:dyDescent="0.25">
      <c r="I112" s="22"/>
      <c r="J112" s="22"/>
    </row>
    <row r="113" spans="9:10" ht="14.25" customHeight="1" x14ac:dyDescent="0.25">
      <c r="I113" s="22"/>
      <c r="J113" s="22"/>
    </row>
    <row r="114" spans="9:10" ht="14.25" customHeight="1" x14ac:dyDescent="0.25">
      <c r="I114" s="22"/>
      <c r="J114" s="22"/>
    </row>
    <row r="115" spans="9:10" ht="14.25" customHeight="1" x14ac:dyDescent="0.25">
      <c r="I115" s="22"/>
      <c r="J115" s="22"/>
    </row>
    <row r="116" spans="9:10" ht="14.25" customHeight="1" x14ac:dyDescent="0.25">
      <c r="I116" s="22"/>
      <c r="J116" s="22"/>
    </row>
    <row r="117" spans="9:10" ht="14.25" customHeight="1" x14ac:dyDescent="0.25">
      <c r="I117" s="22"/>
      <c r="J117" s="22"/>
    </row>
    <row r="118" spans="9:10" ht="14.25" customHeight="1" x14ac:dyDescent="0.25">
      <c r="I118" s="22"/>
      <c r="J118" s="22"/>
    </row>
    <row r="119" spans="9:10" ht="14.25" customHeight="1" x14ac:dyDescent="0.25">
      <c r="I119" s="22"/>
      <c r="J119" s="22"/>
    </row>
    <row r="120" spans="9:10" ht="14.25" customHeight="1" x14ac:dyDescent="0.25">
      <c r="I120" s="22"/>
      <c r="J120" s="2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152D1-0BC3-4D33-8ED4-DF74E77AD92B}">
  <dimension ref="A1:N129"/>
  <sheetViews>
    <sheetView workbookViewId="0">
      <selection activeCell="M2" sqref="M2"/>
    </sheetView>
  </sheetViews>
  <sheetFormatPr defaultColWidth="8.85546875" defaultRowHeight="15" x14ac:dyDescent="0.25"/>
  <cols>
    <col min="1" max="12" width="10.7109375" customWidth="1"/>
  </cols>
  <sheetData>
    <row r="1" spans="1:14" ht="60" x14ac:dyDescent="0.25">
      <c r="A1" s="30" t="s">
        <v>0</v>
      </c>
      <c r="B1" s="24" t="s">
        <v>107</v>
      </c>
      <c r="C1" s="24" t="s">
        <v>108</v>
      </c>
      <c r="D1" s="25" t="s">
        <v>4</v>
      </c>
      <c r="E1" s="25" t="s">
        <v>5</v>
      </c>
      <c r="F1" s="25" t="s">
        <v>6</v>
      </c>
      <c r="G1" s="25" t="s">
        <v>96</v>
      </c>
      <c r="H1" s="25" t="s">
        <v>7</v>
      </c>
      <c r="I1" s="25" t="s">
        <v>192</v>
      </c>
      <c r="J1" s="47" t="s">
        <v>193</v>
      </c>
      <c r="K1" s="47" t="s">
        <v>120</v>
      </c>
      <c r="L1" s="31" t="s">
        <v>8</v>
      </c>
      <c r="M1" s="20"/>
      <c r="N1" s="20"/>
    </row>
    <row r="2" spans="1:14" ht="30" x14ac:dyDescent="0.25">
      <c r="A2" s="30" t="s">
        <v>9</v>
      </c>
      <c r="B2" s="24" t="s">
        <v>9</v>
      </c>
      <c r="C2" s="24" t="s">
        <v>10</v>
      </c>
      <c r="D2" s="25" t="s">
        <v>10</v>
      </c>
      <c r="E2" s="25" t="s">
        <v>10</v>
      </c>
      <c r="F2" s="25" t="s">
        <v>10</v>
      </c>
      <c r="G2" s="25" t="s">
        <v>11</v>
      </c>
      <c r="H2" s="25" t="s">
        <v>11</v>
      </c>
      <c r="I2" s="25" t="s">
        <v>11</v>
      </c>
      <c r="J2" s="47" t="s">
        <v>11</v>
      </c>
      <c r="K2" s="47" t="s">
        <v>12</v>
      </c>
      <c r="L2" s="31" t="s">
        <v>12</v>
      </c>
      <c r="M2" s="20"/>
      <c r="N2" s="20"/>
    </row>
    <row r="3" spans="1:14" ht="26.25" x14ac:dyDescent="0.25">
      <c r="A3" s="32" t="s">
        <v>109</v>
      </c>
      <c r="B3" s="26" t="s">
        <v>65</v>
      </c>
      <c r="C3" s="26">
        <v>3</v>
      </c>
      <c r="D3" s="26">
        <v>90</v>
      </c>
      <c r="E3" s="26">
        <v>0.1</v>
      </c>
      <c r="F3" s="26">
        <v>0.01</v>
      </c>
      <c r="G3" s="26" t="s">
        <v>110</v>
      </c>
      <c r="H3" s="26" t="s">
        <v>25</v>
      </c>
      <c r="I3" s="26" t="s">
        <v>25</v>
      </c>
      <c r="J3" s="48"/>
      <c r="K3" s="48">
        <f>IF(AND(ISBLANK(I3),ISBLANK(J3)),1,0)</f>
        <v>0</v>
      </c>
      <c r="L3" s="33">
        <v>1</v>
      </c>
      <c r="M3" s="20"/>
      <c r="N3" s="20"/>
    </row>
    <row r="4" spans="1:14" ht="26.25" x14ac:dyDescent="0.25">
      <c r="A4" s="32" t="s">
        <v>111</v>
      </c>
      <c r="B4" s="26" t="s">
        <v>102</v>
      </c>
      <c r="C4" s="26">
        <v>3</v>
      </c>
      <c r="D4" s="26">
        <v>180</v>
      </c>
      <c r="E4" s="26">
        <v>0.2</v>
      </c>
      <c r="F4" s="26">
        <v>0.1</v>
      </c>
      <c r="G4" s="26" t="s">
        <v>112</v>
      </c>
      <c r="H4" s="26" t="s">
        <v>25</v>
      </c>
      <c r="I4" s="26" t="s">
        <v>25</v>
      </c>
      <c r="J4" s="48"/>
      <c r="K4" s="48">
        <f t="shared" ref="K4:K67" si="0">IF(AND(ISBLANK(I4),ISBLANK(J4)),1,0)</f>
        <v>0</v>
      </c>
      <c r="L4" s="33">
        <v>0</v>
      </c>
      <c r="M4" s="20"/>
      <c r="N4" s="20"/>
    </row>
    <row r="5" spans="1:14" ht="51.75" x14ac:dyDescent="0.25">
      <c r="A5" s="32" t="s">
        <v>16</v>
      </c>
      <c r="B5" s="26" t="s">
        <v>17</v>
      </c>
      <c r="C5" s="26">
        <v>3</v>
      </c>
      <c r="D5" s="26">
        <v>50</v>
      </c>
      <c r="E5" s="26">
        <v>0.01</v>
      </c>
      <c r="F5" s="26">
        <v>0.01</v>
      </c>
      <c r="G5" s="26" t="s">
        <v>113</v>
      </c>
      <c r="H5" s="26" t="s">
        <v>25</v>
      </c>
      <c r="I5" s="26" t="s">
        <v>25</v>
      </c>
      <c r="J5" s="48"/>
      <c r="K5" s="48">
        <f t="shared" si="0"/>
        <v>0</v>
      </c>
      <c r="L5" s="33">
        <v>0</v>
      </c>
      <c r="M5" s="20"/>
      <c r="N5" s="20"/>
    </row>
    <row r="6" spans="1:14" ht="51.75" x14ac:dyDescent="0.25">
      <c r="A6" s="32" t="s">
        <v>114</v>
      </c>
      <c r="B6" s="27" t="s">
        <v>20</v>
      </c>
      <c r="C6" s="27">
        <v>3</v>
      </c>
      <c r="D6" s="26">
        <v>27</v>
      </c>
      <c r="E6" s="26">
        <v>3.0000000000000001E-3</v>
      </c>
      <c r="F6" s="27">
        <v>3.0000000000000001E-3</v>
      </c>
      <c r="G6" s="26" t="s">
        <v>115</v>
      </c>
      <c r="H6" s="26" t="s">
        <v>89</v>
      </c>
      <c r="I6" s="26" t="s">
        <v>25</v>
      </c>
      <c r="J6" s="48" t="s">
        <v>160</v>
      </c>
      <c r="K6" s="48">
        <f t="shared" si="0"/>
        <v>0</v>
      </c>
      <c r="L6" s="33">
        <v>1</v>
      </c>
      <c r="M6" s="20"/>
      <c r="N6" s="20"/>
    </row>
    <row r="7" spans="1:14" ht="51.75" x14ac:dyDescent="0.25">
      <c r="A7" s="32" t="s">
        <v>28</v>
      </c>
      <c r="B7" s="26" t="s">
        <v>29</v>
      </c>
      <c r="C7" s="26">
        <v>3</v>
      </c>
      <c r="D7" s="26">
        <v>35</v>
      </c>
      <c r="E7" s="26">
        <v>0.2</v>
      </c>
      <c r="F7" s="26">
        <v>0.2</v>
      </c>
      <c r="G7" s="26" t="s">
        <v>98</v>
      </c>
      <c r="H7" s="26" t="s">
        <v>30</v>
      </c>
      <c r="I7" s="26" t="s">
        <v>25</v>
      </c>
      <c r="J7" s="48"/>
      <c r="K7" s="48">
        <f t="shared" si="0"/>
        <v>0</v>
      </c>
      <c r="L7" s="33">
        <v>0</v>
      </c>
      <c r="M7" s="20"/>
      <c r="N7" s="20"/>
    </row>
    <row r="8" spans="1:14" ht="26.25" x14ac:dyDescent="0.25">
      <c r="A8" s="32" t="s">
        <v>116</v>
      </c>
      <c r="B8" s="26" t="s">
        <v>102</v>
      </c>
      <c r="C8" s="26">
        <v>3</v>
      </c>
      <c r="D8" s="26">
        <v>35</v>
      </c>
      <c r="E8" s="26">
        <v>0.2</v>
      </c>
      <c r="F8" s="26">
        <v>0.2</v>
      </c>
      <c r="G8" s="26" t="s">
        <v>117</v>
      </c>
      <c r="H8" s="26" t="s">
        <v>25</v>
      </c>
      <c r="I8" s="26" t="s">
        <v>25</v>
      </c>
      <c r="J8" s="48"/>
      <c r="K8" s="48">
        <f t="shared" si="0"/>
        <v>0</v>
      </c>
      <c r="L8" s="33">
        <v>0</v>
      </c>
      <c r="M8" s="20"/>
      <c r="N8" s="20"/>
    </row>
    <row r="9" spans="1:14" x14ac:dyDescent="0.25">
      <c r="A9" s="32" t="s">
        <v>34</v>
      </c>
      <c r="B9" s="26" t="s">
        <v>35</v>
      </c>
      <c r="C9" s="26">
        <v>3</v>
      </c>
      <c r="D9" s="26">
        <v>84</v>
      </c>
      <c r="E9" s="26">
        <v>1</v>
      </c>
      <c r="F9" s="26">
        <v>0.6</v>
      </c>
      <c r="G9" s="26" t="s">
        <v>118</v>
      </c>
      <c r="H9" s="26" t="s">
        <v>25</v>
      </c>
      <c r="I9" s="26" t="s">
        <v>25</v>
      </c>
      <c r="J9" s="48"/>
      <c r="K9" s="48">
        <f t="shared" si="0"/>
        <v>0</v>
      </c>
      <c r="L9" s="33">
        <v>1</v>
      </c>
      <c r="M9" s="20"/>
      <c r="N9" s="20"/>
    </row>
    <row r="10" spans="1:14" ht="26.25" x14ac:dyDescent="0.25">
      <c r="A10" s="32" t="s">
        <v>101</v>
      </c>
      <c r="B10" s="26" t="s">
        <v>102</v>
      </c>
      <c r="C10" s="26">
        <v>3</v>
      </c>
      <c r="D10" s="26">
        <v>30</v>
      </c>
      <c r="E10" s="26">
        <v>1</v>
      </c>
      <c r="F10" s="26">
        <v>1</v>
      </c>
      <c r="G10" s="26" t="s">
        <v>98</v>
      </c>
      <c r="H10" s="26" t="s">
        <v>25</v>
      </c>
      <c r="I10" s="26" t="s">
        <v>25</v>
      </c>
      <c r="J10" s="48"/>
      <c r="K10" s="48">
        <f t="shared" si="0"/>
        <v>0</v>
      </c>
      <c r="L10" s="33">
        <v>0</v>
      </c>
      <c r="M10" s="20"/>
      <c r="N10" s="20"/>
    </row>
    <row r="11" spans="1:14" ht="39" x14ac:dyDescent="0.25">
      <c r="A11" s="32" t="s">
        <v>36</v>
      </c>
      <c r="B11" s="26" t="s">
        <v>20</v>
      </c>
      <c r="C11" s="26">
        <v>3</v>
      </c>
      <c r="D11" s="26">
        <v>10</v>
      </c>
      <c r="E11" s="26">
        <v>0.28000000000000003</v>
      </c>
      <c r="F11" s="26">
        <v>0.08</v>
      </c>
      <c r="G11" s="26" t="s">
        <v>105</v>
      </c>
      <c r="H11" s="26" t="s">
        <v>119</v>
      </c>
      <c r="I11" s="26"/>
      <c r="J11" s="48"/>
      <c r="K11" s="48">
        <f t="shared" si="0"/>
        <v>1</v>
      </c>
      <c r="L11" s="33">
        <v>1</v>
      </c>
      <c r="M11" s="20"/>
      <c r="N11" s="20"/>
    </row>
    <row r="12" spans="1:14" ht="39" x14ac:dyDescent="0.25">
      <c r="A12" s="32" t="s">
        <v>37</v>
      </c>
      <c r="B12" s="26" t="s">
        <v>27</v>
      </c>
      <c r="C12" s="26">
        <v>3</v>
      </c>
      <c r="D12" s="26">
        <v>24</v>
      </c>
      <c r="E12" s="26">
        <v>1</v>
      </c>
      <c r="F12" s="26">
        <v>1</v>
      </c>
      <c r="G12" s="26" t="s">
        <v>98</v>
      </c>
      <c r="H12" s="26" t="s">
        <v>25</v>
      </c>
      <c r="I12" s="26" t="s">
        <v>25</v>
      </c>
      <c r="J12" s="48"/>
      <c r="K12" s="48">
        <f t="shared" si="0"/>
        <v>0</v>
      </c>
      <c r="L12" s="33">
        <v>0</v>
      </c>
      <c r="M12" s="20"/>
      <c r="N12" s="20"/>
    </row>
    <row r="13" spans="1:14" x14ac:dyDescent="0.25">
      <c r="A13" s="32" t="s">
        <v>121</v>
      </c>
      <c r="B13" s="26" t="s">
        <v>82</v>
      </c>
      <c r="C13" s="26">
        <v>3</v>
      </c>
      <c r="D13" s="26">
        <v>35</v>
      </c>
      <c r="E13" s="26">
        <v>2.5</v>
      </c>
      <c r="F13" s="26">
        <v>2</v>
      </c>
      <c r="G13" s="26" t="s">
        <v>122</v>
      </c>
      <c r="H13" s="26" t="s">
        <v>25</v>
      </c>
      <c r="I13" s="26" t="s">
        <v>25</v>
      </c>
      <c r="J13" s="48"/>
      <c r="K13" s="48">
        <f t="shared" si="0"/>
        <v>0</v>
      </c>
      <c r="L13" s="33">
        <v>1</v>
      </c>
      <c r="M13" s="20"/>
      <c r="N13" s="20"/>
    </row>
    <row r="14" spans="1:14" ht="26.25" x14ac:dyDescent="0.25">
      <c r="A14" s="32" t="s">
        <v>38</v>
      </c>
      <c r="B14" s="26" t="s">
        <v>39</v>
      </c>
      <c r="C14" s="26">
        <v>3</v>
      </c>
      <c r="D14" s="26">
        <v>50</v>
      </c>
      <c r="E14" s="26">
        <v>2</v>
      </c>
      <c r="F14" s="26">
        <v>2</v>
      </c>
      <c r="G14" s="26" t="s">
        <v>104</v>
      </c>
      <c r="H14" s="26" t="s">
        <v>25</v>
      </c>
      <c r="I14" s="26" t="s">
        <v>25</v>
      </c>
      <c r="J14" s="48"/>
      <c r="K14" s="48">
        <f t="shared" si="0"/>
        <v>0</v>
      </c>
      <c r="L14" s="33">
        <v>1</v>
      </c>
      <c r="M14" s="20"/>
      <c r="N14" s="20"/>
    </row>
    <row r="15" spans="1:14" ht="26.25" x14ac:dyDescent="0.25">
      <c r="A15" s="32" t="s">
        <v>123</v>
      </c>
      <c r="B15" s="26" t="s">
        <v>124</v>
      </c>
      <c r="C15" s="26">
        <v>3</v>
      </c>
      <c r="D15" s="26">
        <v>80</v>
      </c>
      <c r="E15" s="26">
        <v>1</v>
      </c>
      <c r="F15" s="26">
        <v>0.1</v>
      </c>
      <c r="G15" s="26" t="s">
        <v>110</v>
      </c>
      <c r="H15" s="26" t="s">
        <v>25</v>
      </c>
      <c r="I15" s="26" t="s">
        <v>25</v>
      </c>
      <c r="J15" s="48"/>
      <c r="K15" s="48">
        <f t="shared" si="0"/>
        <v>0</v>
      </c>
      <c r="L15" s="33">
        <v>0</v>
      </c>
      <c r="M15" s="20"/>
      <c r="N15" s="20"/>
    </row>
    <row r="16" spans="1:14" ht="26.25" x14ac:dyDescent="0.25">
      <c r="A16" s="32" t="s">
        <v>41</v>
      </c>
      <c r="B16" s="26" t="s">
        <v>42</v>
      </c>
      <c r="C16" s="26">
        <v>3</v>
      </c>
      <c r="D16" s="26">
        <v>72</v>
      </c>
      <c r="E16" s="26">
        <v>0.1</v>
      </c>
      <c r="F16" s="26">
        <v>0.01</v>
      </c>
      <c r="G16" s="26" t="s">
        <v>110</v>
      </c>
      <c r="H16" s="26" t="s">
        <v>94</v>
      </c>
      <c r="I16" s="26"/>
      <c r="J16" s="48" t="s">
        <v>40</v>
      </c>
      <c r="K16" s="48">
        <f t="shared" si="0"/>
        <v>0</v>
      </c>
      <c r="L16" s="33">
        <v>1</v>
      </c>
      <c r="M16" s="20"/>
      <c r="N16" s="20"/>
    </row>
    <row r="17" spans="1:14" ht="39" x14ac:dyDescent="0.25">
      <c r="A17" s="32" t="s">
        <v>125</v>
      </c>
      <c r="B17" s="26" t="s">
        <v>126</v>
      </c>
      <c r="C17" s="26">
        <v>3</v>
      </c>
      <c r="D17" s="26">
        <v>25</v>
      </c>
      <c r="E17" s="26">
        <v>3.0000000000000001E-3</v>
      </c>
      <c r="F17" s="26">
        <v>3.0000000000000001E-3</v>
      </c>
      <c r="G17" s="26" t="s">
        <v>98</v>
      </c>
      <c r="H17" s="26" t="s">
        <v>33</v>
      </c>
      <c r="I17" s="26" t="s">
        <v>25</v>
      </c>
      <c r="J17" s="48"/>
      <c r="K17" s="48">
        <f t="shared" si="0"/>
        <v>0</v>
      </c>
      <c r="L17" s="33">
        <v>0</v>
      </c>
      <c r="M17" s="20"/>
      <c r="N17" s="20"/>
    </row>
    <row r="18" spans="1:14" x14ac:dyDescent="0.25">
      <c r="A18" s="32" t="s">
        <v>127</v>
      </c>
      <c r="B18" s="26" t="s">
        <v>61</v>
      </c>
      <c r="C18" s="26">
        <v>3</v>
      </c>
      <c r="D18" s="26">
        <v>5</v>
      </c>
      <c r="E18" s="26">
        <v>10</v>
      </c>
      <c r="F18" s="26">
        <v>5</v>
      </c>
      <c r="G18" s="26" t="s">
        <v>104</v>
      </c>
      <c r="H18" s="26" t="s">
        <v>25</v>
      </c>
      <c r="I18" s="26"/>
      <c r="J18" s="48"/>
      <c r="K18" s="48">
        <f t="shared" si="0"/>
        <v>1</v>
      </c>
      <c r="L18" s="33">
        <v>0</v>
      </c>
      <c r="M18" s="20"/>
      <c r="N18" s="20"/>
    </row>
    <row r="19" spans="1:14" ht="26.25" x14ac:dyDescent="0.25">
      <c r="A19" s="32" t="s">
        <v>47</v>
      </c>
      <c r="B19" s="26" t="s">
        <v>48</v>
      </c>
      <c r="C19" s="26">
        <v>3</v>
      </c>
      <c r="D19" s="26">
        <v>7.5</v>
      </c>
      <c r="E19" s="26">
        <v>15</v>
      </c>
      <c r="F19" s="26">
        <v>15</v>
      </c>
      <c r="G19" s="26" t="s">
        <v>105</v>
      </c>
      <c r="H19" s="26" t="s">
        <v>25</v>
      </c>
      <c r="I19" s="26" t="s">
        <v>25</v>
      </c>
      <c r="J19" s="48"/>
      <c r="K19" s="48">
        <f t="shared" si="0"/>
        <v>0</v>
      </c>
      <c r="L19" s="33">
        <v>1</v>
      </c>
      <c r="M19" s="20"/>
      <c r="N19" s="20"/>
    </row>
    <row r="20" spans="1:14" ht="26.25" x14ac:dyDescent="0.25">
      <c r="A20" s="32" t="s">
        <v>128</v>
      </c>
      <c r="B20" s="26" t="s">
        <v>129</v>
      </c>
      <c r="C20" s="26">
        <v>3</v>
      </c>
      <c r="D20" s="26">
        <v>50</v>
      </c>
      <c r="E20" s="26">
        <v>15</v>
      </c>
      <c r="F20" s="26">
        <v>15</v>
      </c>
      <c r="G20" s="26" t="s">
        <v>112</v>
      </c>
      <c r="H20" s="26" t="s">
        <v>25</v>
      </c>
      <c r="I20" s="26" t="s">
        <v>25</v>
      </c>
      <c r="J20" s="48"/>
      <c r="K20" s="48">
        <f t="shared" si="0"/>
        <v>0</v>
      </c>
      <c r="L20" s="33">
        <v>0</v>
      </c>
      <c r="M20" s="20"/>
      <c r="N20" s="20"/>
    </row>
    <row r="21" spans="1:14" ht="26.25" x14ac:dyDescent="0.25">
      <c r="A21" s="32" t="s">
        <v>52</v>
      </c>
      <c r="B21" s="26" t="s">
        <v>53</v>
      </c>
      <c r="C21" s="26">
        <v>3</v>
      </c>
      <c r="D21" s="26">
        <v>175</v>
      </c>
      <c r="E21" s="26">
        <v>13.2</v>
      </c>
      <c r="F21" s="26">
        <v>12.93</v>
      </c>
      <c r="G21" s="26" t="s">
        <v>118</v>
      </c>
      <c r="H21" s="26" t="s">
        <v>25</v>
      </c>
      <c r="I21" s="26" t="s">
        <v>25</v>
      </c>
      <c r="J21" s="48"/>
      <c r="K21" s="48">
        <f t="shared" si="0"/>
        <v>0</v>
      </c>
      <c r="L21" s="33">
        <v>1</v>
      </c>
      <c r="M21" s="20"/>
      <c r="N21" s="20"/>
    </row>
    <row r="22" spans="1:14" ht="26.25" x14ac:dyDescent="0.25">
      <c r="A22" s="32" t="s">
        <v>56</v>
      </c>
      <c r="B22" s="26" t="s">
        <v>20</v>
      </c>
      <c r="C22" s="26">
        <v>3</v>
      </c>
      <c r="D22" s="26">
        <v>100</v>
      </c>
      <c r="E22" s="26">
        <v>0.5</v>
      </c>
      <c r="F22" s="26">
        <v>0.2</v>
      </c>
      <c r="G22" s="26" t="s">
        <v>130</v>
      </c>
      <c r="H22" s="26" t="s">
        <v>131</v>
      </c>
      <c r="I22" s="26" t="s">
        <v>25</v>
      </c>
      <c r="J22" s="48"/>
      <c r="K22" s="48">
        <f t="shared" si="0"/>
        <v>0</v>
      </c>
      <c r="L22" s="33">
        <v>1</v>
      </c>
      <c r="M22" s="20"/>
      <c r="N22" s="20"/>
    </row>
    <row r="23" spans="1:14" ht="51.75" x14ac:dyDescent="0.25">
      <c r="A23" s="32" t="s">
        <v>60</v>
      </c>
      <c r="B23" s="26" t="s">
        <v>61</v>
      </c>
      <c r="C23" s="26">
        <v>3</v>
      </c>
      <c r="D23" s="26">
        <v>51.6</v>
      </c>
      <c r="E23" s="26">
        <v>0.1</v>
      </c>
      <c r="F23" s="26">
        <v>0.1</v>
      </c>
      <c r="G23" s="26" t="s">
        <v>132</v>
      </c>
      <c r="H23" s="26" t="s">
        <v>33</v>
      </c>
      <c r="I23" s="26" t="s">
        <v>30</v>
      </c>
      <c r="J23" s="48"/>
      <c r="K23" s="48">
        <f t="shared" si="0"/>
        <v>0</v>
      </c>
      <c r="L23" s="33">
        <v>0</v>
      </c>
      <c r="M23" s="20"/>
      <c r="N23" s="20"/>
    </row>
    <row r="24" spans="1:14" ht="26.25" x14ac:dyDescent="0.25">
      <c r="A24" s="32" t="s">
        <v>66</v>
      </c>
      <c r="B24" s="26" t="s">
        <v>17</v>
      </c>
      <c r="C24" s="26">
        <v>3</v>
      </c>
      <c r="D24" s="26">
        <v>160</v>
      </c>
      <c r="E24" s="26">
        <v>2.4</v>
      </c>
      <c r="F24" s="26">
        <v>0.67</v>
      </c>
      <c r="G24" s="26" t="s">
        <v>98</v>
      </c>
      <c r="H24" s="26" t="s">
        <v>25</v>
      </c>
      <c r="I24" s="26" t="s">
        <v>25</v>
      </c>
      <c r="J24" s="48"/>
      <c r="K24" s="48">
        <f t="shared" si="0"/>
        <v>0</v>
      </c>
      <c r="L24" s="33">
        <v>0</v>
      </c>
      <c r="M24" s="20"/>
      <c r="N24" s="20"/>
    </row>
    <row r="25" spans="1:14" ht="39" x14ac:dyDescent="0.25">
      <c r="A25" s="32" t="s">
        <v>67</v>
      </c>
      <c r="B25" s="26" t="s">
        <v>17</v>
      </c>
      <c r="C25" s="26">
        <v>3</v>
      </c>
      <c r="D25" s="26">
        <v>400</v>
      </c>
      <c r="E25" s="26">
        <v>0.1</v>
      </c>
      <c r="F25" s="26">
        <v>0.01</v>
      </c>
      <c r="G25" s="26" t="s">
        <v>133</v>
      </c>
      <c r="H25" s="26" t="s">
        <v>30</v>
      </c>
      <c r="I25" s="26" t="s">
        <v>25</v>
      </c>
      <c r="J25" s="48"/>
      <c r="K25" s="48">
        <f t="shared" si="0"/>
        <v>0</v>
      </c>
      <c r="L25" s="33">
        <v>0</v>
      </c>
      <c r="M25" s="20"/>
      <c r="N25" s="20"/>
    </row>
    <row r="26" spans="1:14" ht="39" x14ac:dyDescent="0.25">
      <c r="A26" s="32" t="s">
        <v>69</v>
      </c>
      <c r="B26" s="26" t="s">
        <v>20</v>
      </c>
      <c r="C26" s="26">
        <v>3</v>
      </c>
      <c r="D26" s="26">
        <v>8</v>
      </c>
      <c r="E26" s="26">
        <v>1</v>
      </c>
      <c r="F26" s="26">
        <v>1</v>
      </c>
      <c r="G26" s="26" t="s">
        <v>115</v>
      </c>
      <c r="H26" s="26" t="s">
        <v>25</v>
      </c>
      <c r="I26" s="26"/>
      <c r="J26" s="48" t="s">
        <v>25</v>
      </c>
      <c r="K26" s="48">
        <f t="shared" si="0"/>
        <v>0</v>
      </c>
      <c r="L26" s="33">
        <v>1</v>
      </c>
      <c r="M26" s="20"/>
      <c r="N26" s="20"/>
    </row>
    <row r="27" spans="1:14" ht="39" x14ac:dyDescent="0.25">
      <c r="A27" s="32" t="s">
        <v>134</v>
      </c>
      <c r="B27" s="26" t="s">
        <v>20</v>
      </c>
      <c r="C27" s="26">
        <v>3</v>
      </c>
      <c r="D27" s="26">
        <v>200</v>
      </c>
      <c r="E27" s="26">
        <v>0.05</v>
      </c>
      <c r="F27" s="26">
        <v>0.05</v>
      </c>
      <c r="G27" s="26" t="s">
        <v>132</v>
      </c>
      <c r="H27" s="26" t="s">
        <v>25</v>
      </c>
      <c r="I27" s="26" t="s">
        <v>25</v>
      </c>
      <c r="J27" s="48"/>
      <c r="K27" s="48">
        <f t="shared" si="0"/>
        <v>0</v>
      </c>
      <c r="L27" s="33">
        <v>1</v>
      </c>
      <c r="M27" s="20"/>
      <c r="N27" s="20"/>
    </row>
    <row r="28" spans="1:14" x14ac:dyDescent="0.25">
      <c r="A28" s="32" t="s">
        <v>106</v>
      </c>
      <c r="B28" s="26" t="s">
        <v>20</v>
      </c>
      <c r="C28" s="26">
        <v>3</v>
      </c>
      <c r="D28" s="26">
        <v>44</v>
      </c>
      <c r="E28" s="26">
        <v>5</v>
      </c>
      <c r="F28" s="26">
        <v>2</v>
      </c>
      <c r="G28" s="26" t="s">
        <v>98</v>
      </c>
      <c r="H28" s="26" t="s">
        <v>40</v>
      </c>
      <c r="I28" s="26" t="s">
        <v>25</v>
      </c>
      <c r="J28" s="48"/>
      <c r="K28" s="48">
        <f t="shared" si="0"/>
        <v>0</v>
      </c>
      <c r="L28" s="33">
        <v>1</v>
      </c>
      <c r="M28" s="20"/>
      <c r="N28" s="20"/>
    </row>
    <row r="29" spans="1:14" x14ac:dyDescent="0.25">
      <c r="A29" s="32" t="s">
        <v>76</v>
      </c>
      <c r="B29" s="26" t="s">
        <v>32</v>
      </c>
      <c r="C29" s="26">
        <v>3</v>
      </c>
      <c r="D29" s="26">
        <v>36</v>
      </c>
      <c r="E29" s="26">
        <v>1</v>
      </c>
      <c r="F29" s="26">
        <v>0.6</v>
      </c>
      <c r="G29" s="26" t="s">
        <v>98</v>
      </c>
      <c r="H29" s="26" t="s">
        <v>25</v>
      </c>
      <c r="I29" s="26" t="s">
        <v>30</v>
      </c>
      <c r="J29" s="48"/>
      <c r="K29" s="48">
        <f t="shared" si="0"/>
        <v>0</v>
      </c>
      <c r="L29" s="33">
        <v>0</v>
      </c>
      <c r="M29" s="20"/>
      <c r="N29" s="20"/>
    </row>
    <row r="30" spans="1:14" ht="26.25" x14ac:dyDescent="0.25">
      <c r="A30" s="32" t="s">
        <v>135</v>
      </c>
      <c r="B30" s="26" t="s">
        <v>136</v>
      </c>
      <c r="C30" s="26">
        <v>3</v>
      </c>
      <c r="D30" s="26">
        <v>100</v>
      </c>
      <c r="E30" s="26">
        <v>0.3</v>
      </c>
      <c r="F30" s="26">
        <v>0.06</v>
      </c>
      <c r="G30" s="26" t="s">
        <v>112</v>
      </c>
      <c r="H30" s="26" t="s">
        <v>30</v>
      </c>
      <c r="I30" s="26" t="s">
        <v>30</v>
      </c>
      <c r="J30" s="48"/>
      <c r="K30" s="48">
        <f t="shared" si="0"/>
        <v>0</v>
      </c>
      <c r="L30" s="33">
        <v>0</v>
      </c>
      <c r="M30" s="20"/>
      <c r="N30" s="20"/>
    </row>
    <row r="31" spans="1:14" ht="39" x14ac:dyDescent="0.25">
      <c r="A31" s="32" t="s">
        <v>137</v>
      </c>
      <c r="B31" s="27" t="s">
        <v>138</v>
      </c>
      <c r="C31" s="27">
        <v>3</v>
      </c>
      <c r="D31" s="26">
        <v>93</v>
      </c>
      <c r="E31" s="26">
        <v>8.9999999999999993E-3</v>
      </c>
      <c r="F31" s="27">
        <v>4.0000000000000001E-3</v>
      </c>
      <c r="G31" s="26" t="s">
        <v>132</v>
      </c>
      <c r="H31" s="26" t="s">
        <v>94</v>
      </c>
      <c r="I31" s="26" t="s">
        <v>25</v>
      </c>
      <c r="J31" s="48" t="s">
        <v>186</v>
      </c>
      <c r="K31" s="48">
        <f t="shared" si="0"/>
        <v>0</v>
      </c>
      <c r="L31" s="33">
        <v>0</v>
      </c>
      <c r="M31" s="20"/>
      <c r="N31" s="20"/>
    </row>
    <row r="32" spans="1:14" ht="26.25" x14ac:dyDescent="0.25">
      <c r="A32" s="32" t="s">
        <v>81</v>
      </c>
      <c r="B32" s="26" t="s">
        <v>82</v>
      </c>
      <c r="C32" s="26">
        <v>3</v>
      </c>
      <c r="D32" s="26">
        <v>100</v>
      </c>
      <c r="E32" s="26">
        <v>0.01</v>
      </c>
      <c r="F32" s="26">
        <v>0.01</v>
      </c>
      <c r="G32" s="26" t="s">
        <v>139</v>
      </c>
      <c r="H32" s="26" t="s">
        <v>25</v>
      </c>
      <c r="I32" s="26" t="s">
        <v>25</v>
      </c>
      <c r="J32" s="48"/>
      <c r="K32" s="48">
        <f t="shared" si="0"/>
        <v>0</v>
      </c>
      <c r="L32" s="33">
        <v>0</v>
      </c>
      <c r="M32" s="20"/>
      <c r="N32" s="20"/>
    </row>
    <row r="33" spans="1:14" ht="39" x14ac:dyDescent="0.25">
      <c r="A33" s="32" t="s">
        <v>140</v>
      </c>
      <c r="B33" s="27" t="s">
        <v>85</v>
      </c>
      <c r="C33" s="27">
        <v>3</v>
      </c>
      <c r="D33" s="26">
        <v>30</v>
      </c>
      <c r="E33" s="26">
        <v>0.1</v>
      </c>
      <c r="F33" s="27">
        <v>0.05</v>
      </c>
      <c r="G33" s="26" t="s">
        <v>112</v>
      </c>
      <c r="H33" s="26" t="s">
        <v>94</v>
      </c>
      <c r="I33" s="26" t="s">
        <v>25</v>
      </c>
      <c r="J33" s="48" t="s">
        <v>21</v>
      </c>
      <c r="K33" s="48">
        <f t="shared" si="0"/>
        <v>0</v>
      </c>
      <c r="L33" s="33">
        <v>0</v>
      </c>
      <c r="M33" s="20"/>
      <c r="N33" s="20"/>
    </row>
    <row r="34" spans="1:14" ht="26.25" x14ac:dyDescent="0.25">
      <c r="A34" s="32" t="s">
        <v>86</v>
      </c>
      <c r="B34" s="26" t="s">
        <v>20</v>
      </c>
      <c r="C34" s="26">
        <v>3</v>
      </c>
      <c r="D34" s="26">
        <v>35</v>
      </c>
      <c r="E34" s="26">
        <v>0.1</v>
      </c>
      <c r="F34" s="26">
        <v>0.05</v>
      </c>
      <c r="G34" s="26" t="s">
        <v>141</v>
      </c>
      <c r="H34" s="26" t="s">
        <v>25</v>
      </c>
      <c r="I34" s="26" t="s">
        <v>25</v>
      </c>
      <c r="J34" s="48"/>
      <c r="K34" s="48">
        <f t="shared" si="0"/>
        <v>0</v>
      </c>
      <c r="L34" s="33">
        <v>1</v>
      </c>
      <c r="M34" s="20"/>
      <c r="N34" s="20"/>
    </row>
    <row r="35" spans="1:14" ht="26.25" x14ac:dyDescent="0.25">
      <c r="A35" s="32" t="s">
        <v>109</v>
      </c>
      <c r="B35" s="26" t="s">
        <v>65</v>
      </c>
      <c r="C35" s="26">
        <v>3</v>
      </c>
      <c r="D35" s="26">
        <v>150</v>
      </c>
      <c r="E35" s="26">
        <v>0.1</v>
      </c>
      <c r="F35" s="26">
        <v>0.01</v>
      </c>
      <c r="G35" s="26" t="s">
        <v>110</v>
      </c>
      <c r="H35" s="26" t="s">
        <v>25</v>
      </c>
      <c r="I35" s="26" t="s">
        <v>25</v>
      </c>
      <c r="J35" s="48"/>
      <c r="K35" s="48">
        <f t="shared" si="0"/>
        <v>0</v>
      </c>
      <c r="L35" s="33">
        <v>1</v>
      </c>
      <c r="M35" s="20"/>
      <c r="N35" s="20"/>
    </row>
    <row r="36" spans="1:14" ht="26.25" x14ac:dyDescent="0.25">
      <c r="A36" s="32" t="s">
        <v>111</v>
      </c>
      <c r="B36" s="26" t="s">
        <v>102</v>
      </c>
      <c r="C36" s="26">
        <v>3</v>
      </c>
      <c r="D36" s="26">
        <v>180</v>
      </c>
      <c r="E36" s="26">
        <v>0.2</v>
      </c>
      <c r="F36" s="26">
        <v>0.1</v>
      </c>
      <c r="G36" s="26" t="s">
        <v>112</v>
      </c>
      <c r="H36" s="26" t="s">
        <v>25</v>
      </c>
      <c r="I36" s="26" t="s">
        <v>25</v>
      </c>
      <c r="J36" s="48"/>
      <c r="K36" s="48">
        <f t="shared" si="0"/>
        <v>0</v>
      </c>
      <c r="L36" s="33">
        <v>0</v>
      </c>
      <c r="M36" s="20"/>
      <c r="N36" s="20"/>
    </row>
    <row r="37" spans="1:14" ht="51.75" x14ac:dyDescent="0.25">
      <c r="A37" s="32" t="s">
        <v>142</v>
      </c>
      <c r="B37" s="27" t="s">
        <v>61</v>
      </c>
      <c r="C37" s="27">
        <v>3</v>
      </c>
      <c r="D37" s="26">
        <v>80</v>
      </c>
      <c r="E37" s="26">
        <v>0.02</v>
      </c>
      <c r="F37" s="27">
        <v>0.01</v>
      </c>
      <c r="G37" s="26" t="s">
        <v>118</v>
      </c>
      <c r="H37" s="26" t="s">
        <v>89</v>
      </c>
      <c r="I37" s="26" t="s">
        <v>191</v>
      </c>
      <c r="J37" s="48"/>
      <c r="K37" s="48">
        <f t="shared" si="0"/>
        <v>0</v>
      </c>
      <c r="L37" s="33">
        <v>1</v>
      </c>
      <c r="M37" s="20"/>
      <c r="N37" s="20"/>
    </row>
    <row r="38" spans="1:14" ht="77.25" x14ac:dyDescent="0.25">
      <c r="A38" s="32" t="s">
        <v>16</v>
      </c>
      <c r="B38" s="27" t="s">
        <v>17</v>
      </c>
      <c r="C38" s="27">
        <v>3</v>
      </c>
      <c r="D38" s="26">
        <v>100</v>
      </c>
      <c r="E38" s="26">
        <v>0.01</v>
      </c>
      <c r="F38" s="27">
        <v>0.01</v>
      </c>
      <c r="G38" s="26" t="s">
        <v>143</v>
      </c>
      <c r="H38" s="26" t="s">
        <v>51</v>
      </c>
      <c r="I38" s="26" t="s">
        <v>25</v>
      </c>
      <c r="J38" s="48" t="s">
        <v>187</v>
      </c>
      <c r="K38" s="48">
        <f t="shared" si="0"/>
        <v>0</v>
      </c>
      <c r="L38" s="33">
        <v>0</v>
      </c>
      <c r="M38" s="20"/>
      <c r="N38" s="20"/>
    </row>
    <row r="39" spans="1:14" ht="26.25" x14ac:dyDescent="0.25">
      <c r="A39" s="32" t="s">
        <v>22</v>
      </c>
      <c r="B39" s="26" t="s">
        <v>20</v>
      </c>
      <c r="C39" s="26">
        <v>6</v>
      </c>
      <c r="D39" s="26">
        <v>240</v>
      </c>
      <c r="E39" s="26">
        <v>0.1</v>
      </c>
      <c r="F39" s="26">
        <v>0.5</v>
      </c>
      <c r="G39" s="26" t="s">
        <v>132</v>
      </c>
      <c r="H39" s="26" t="s">
        <v>25</v>
      </c>
      <c r="I39" s="26" t="s">
        <v>25</v>
      </c>
      <c r="J39" s="48"/>
      <c r="K39" s="48">
        <f t="shared" si="0"/>
        <v>0</v>
      </c>
      <c r="L39" s="33">
        <v>1</v>
      </c>
      <c r="M39" s="20"/>
      <c r="N39" s="20"/>
    </row>
    <row r="40" spans="1:14" ht="51.75" x14ac:dyDescent="0.25">
      <c r="A40" s="32" t="s">
        <v>114</v>
      </c>
      <c r="B40" s="27" t="s">
        <v>20</v>
      </c>
      <c r="C40" s="27">
        <v>6</v>
      </c>
      <c r="D40" s="26">
        <v>108</v>
      </c>
      <c r="E40" s="26">
        <v>3.0000000000000001E-3</v>
      </c>
      <c r="F40" s="27">
        <v>3.0000000000000001E-3</v>
      </c>
      <c r="G40" s="26" t="s">
        <v>115</v>
      </c>
      <c r="H40" s="26" t="s">
        <v>89</v>
      </c>
      <c r="I40" s="26" t="s">
        <v>40</v>
      </c>
      <c r="J40" s="48" t="s">
        <v>160</v>
      </c>
      <c r="K40" s="48">
        <f t="shared" si="0"/>
        <v>0</v>
      </c>
      <c r="L40" s="33">
        <v>1</v>
      </c>
      <c r="M40" s="20"/>
      <c r="N40" s="20"/>
    </row>
    <row r="41" spans="1:14" ht="64.5" x14ac:dyDescent="0.25">
      <c r="A41" s="32" t="s">
        <v>28</v>
      </c>
      <c r="B41" s="26" t="s">
        <v>29</v>
      </c>
      <c r="C41" s="26">
        <v>6</v>
      </c>
      <c r="D41" s="26">
        <v>165</v>
      </c>
      <c r="E41" s="26">
        <v>0.2</v>
      </c>
      <c r="F41" s="26">
        <v>0.2</v>
      </c>
      <c r="G41" s="26" t="s">
        <v>98</v>
      </c>
      <c r="H41" s="26" t="s">
        <v>30</v>
      </c>
      <c r="I41" s="26"/>
      <c r="J41" s="48"/>
      <c r="K41" s="48">
        <f t="shared" si="0"/>
        <v>1</v>
      </c>
      <c r="L41" s="33">
        <v>0</v>
      </c>
      <c r="M41" s="20"/>
      <c r="N41" s="20"/>
    </row>
    <row r="42" spans="1:14" ht="26.25" x14ac:dyDescent="0.25">
      <c r="A42" s="32" t="s">
        <v>116</v>
      </c>
      <c r="B42" s="26" t="s">
        <v>102</v>
      </c>
      <c r="C42" s="26">
        <v>6</v>
      </c>
      <c r="D42" s="26">
        <v>40</v>
      </c>
      <c r="E42" s="26">
        <v>0.05</v>
      </c>
      <c r="F42" s="26">
        <v>0.05</v>
      </c>
      <c r="G42" s="26" t="s">
        <v>118</v>
      </c>
      <c r="H42" s="26" t="s">
        <v>25</v>
      </c>
      <c r="I42" s="26"/>
      <c r="J42" s="48"/>
      <c r="K42" s="48">
        <f t="shared" si="0"/>
        <v>1</v>
      </c>
      <c r="L42" s="33">
        <v>0</v>
      </c>
      <c r="M42" s="20"/>
      <c r="N42" s="20"/>
    </row>
    <row r="43" spans="1:14" x14ac:dyDescent="0.25">
      <c r="A43" s="32" t="s">
        <v>34</v>
      </c>
      <c r="B43" s="26" t="s">
        <v>35</v>
      </c>
      <c r="C43" s="26">
        <v>6</v>
      </c>
      <c r="D43" s="26">
        <v>112</v>
      </c>
      <c r="E43" s="26">
        <v>0.08</v>
      </c>
      <c r="F43" s="26">
        <v>0.04</v>
      </c>
      <c r="G43" s="26" t="s">
        <v>118</v>
      </c>
      <c r="H43" s="26" t="s">
        <v>25</v>
      </c>
      <c r="I43" s="26" t="s">
        <v>25</v>
      </c>
      <c r="J43" s="48"/>
      <c r="K43" s="48">
        <f t="shared" si="0"/>
        <v>0</v>
      </c>
      <c r="L43" s="33">
        <v>1</v>
      </c>
      <c r="M43" s="20"/>
      <c r="N43" s="20"/>
    </row>
    <row r="44" spans="1:14" ht="39" x14ac:dyDescent="0.25">
      <c r="A44" s="32" t="s">
        <v>36</v>
      </c>
      <c r="B44" s="26" t="s">
        <v>20</v>
      </c>
      <c r="C44" s="26">
        <v>6</v>
      </c>
      <c r="D44" s="26">
        <v>10</v>
      </c>
      <c r="E44" s="26">
        <v>0.28000000000000003</v>
      </c>
      <c r="F44" s="26">
        <v>0.08</v>
      </c>
      <c r="G44" s="26" t="s">
        <v>98</v>
      </c>
      <c r="H44" s="26" t="s">
        <v>25</v>
      </c>
      <c r="I44" s="26" t="s">
        <v>25</v>
      </c>
      <c r="J44" s="48"/>
      <c r="K44" s="48">
        <f t="shared" si="0"/>
        <v>0</v>
      </c>
      <c r="L44" s="33">
        <v>1</v>
      </c>
      <c r="M44" s="20"/>
      <c r="N44" s="20"/>
    </row>
    <row r="45" spans="1:14" ht="39" x14ac:dyDescent="0.25">
      <c r="A45" s="32" t="s">
        <v>37</v>
      </c>
      <c r="B45" s="26" t="s">
        <v>27</v>
      </c>
      <c r="C45" s="26">
        <v>6</v>
      </c>
      <c r="D45" s="26">
        <v>72</v>
      </c>
      <c r="E45" s="26">
        <v>1</v>
      </c>
      <c r="F45" s="26">
        <v>1</v>
      </c>
      <c r="G45" s="26" t="s">
        <v>118</v>
      </c>
      <c r="H45" s="26" t="s">
        <v>25</v>
      </c>
      <c r="I45" s="26" t="s">
        <v>25</v>
      </c>
      <c r="J45" s="48"/>
      <c r="K45" s="48">
        <f t="shared" si="0"/>
        <v>0</v>
      </c>
      <c r="L45" s="33">
        <v>0</v>
      </c>
      <c r="M45" s="20"/>
      <c r="N45" s="20"/>
    </row>
    <row r="46" spans="1:14" ht="26.25" x14ac:dyDescent="0.25">
      <c r="A46" s="32" t="s">
        <v>121</v>
      </c>
      <c r="B46" s="26" t="s">
        <v>82</v>
      </c>
      <c r="C46" s="26">
        <v>6</v>
      </c>
      <c r="D46" s="26">
        <v>102</v>
      </c>
      <c r="E46" s="26">
        <v>7.0000000000000007E-2</v>
      </c>
      <c r="F46" s="26">
        <v>5.6000000000000001E-2</v>
      </c>
      <c r="G46" s="26" t="s">
        <v>144</v>
      </c>
      <c r="H46" s="26" t="s">
        <v>145</v>
      </c>
      <c r="I46" s="26" t="s">
        <v>25</v>
      </c>
      <c r="J46" s="48" t="s">
        <v>171</v>
      </c>
      <c r="K46" s="48">
        <f t="shared" si="0"/>
        <v>0</v>
      </c>
      <c r="L46" s="33">
        <v>1</v>
      </c>
      <c r="M46" s="20"/>
      <c r="N46" s="20"/>
    </row>
    <row r="47" spans="1:14" ht="26.25" x14ac:dyDescent="0.25">
      <c r="A47" s="32" t="s">
        <v>123</v>
      </c>
      <c r="B47" s="26" t="s">
        <v>124</v>
      </c>
      <c r="C47" s="26">
        <v>6</v>
      </c>
      <c r="D47" s="26">
        <v>160</v>
      </c>
      <c r="E47" s="26">
        <v>0.1</v>
      </c>
      <c r="F47" s="26">
        <v>0.05</v>
      </c>
      <c r="G47" s="26" t="s">
        <v>110</v>
      </c>
      <c r="H47" s="26" t="s">
        <v>25</v>
      </c>
      <c r="I47" s="26"/>
      <c r="J47" s="48"/>
      <c r="K47" s="48">
        <f t="shared" si="0"/>
        <v>1</v>
      </c>
      <c r="L47" s="33">
        <v>0</v>
      </c>
      <c r="M47" s="20"/>
      <c r="N47" s="20"/>
    </row>
    <row r="48" spans="1:14" ht="26.25" x14ac:dyDescent="0.25">
      <c r="A48" s="32" t="s">
        <v>41</v>
      </c>
      <c r="B48" s="26" t="s">
        <v>42</v>
      </c>
      <c r="C48" s="26">
        <v>6</v>
      </c>
      <c r="D48" s="26">
        <v>160</v>
      </c>
      <c r="E48" s="26">
        <v>0.1</v>
      </c>
      <c r="F48" s="26">
        <v>0.01</v>
      </c>
      <c r="G48" s="26" t="s">
        <v>110</v>
      </c>
      <c r="H48" s="26" t="s">
        <v>25</v>
      </c>
      <c r="I48" s="26"/>
      <c r="J48" s="26" t="s">
        <v>25</v>
      </c>
      <c r="K48" s="48">
        <f t="shared" si="0"/>
        <v>0</v>
      </c>
      <c r="L48" s="33">
        <v>1</v>
      </c>
      <c r="M48" s="20"/>
      <c r="N48" s="20"/>
    </row>
    <row r="49" spans="1:14" ht="51.75" x14ac:dyDescent="0.25">
      <c r="A49" s="32" t="s">
        <v>125</v>
      </c>
      <c r="B49" s="26" t="s">
        <v>126</v>
      </c>
      <c r="C49" s="26">
        <v>6</v>
      </c>
      <c r="D49" s="26">
        <v>45</v>
      </c>
      <c r="E49" s="26">
        <v>3.0000000000000001E-3</v>
      </c>
      <c r="F49" s="26">
        <v>3.0000000000000001E-3</v>
      </c>
      <c r="G49" s="26" t="s">
        <v>118</v>
      </c>
      <c r="H49" s="26" t="s">
        <v>33</v>
      </c>
      <c r="I49" s="26" t="s">
        <v>25</v>
      </c>
      <c r="J49" s="48"/>
      <c r="K49" s="48">
        <f t="shared" si="0"/>
        <v>0</v>
      </c>
      <c r="L49" s="33">
        <v>0</v>
      </c>
      <c r="M49" s="20"/>
      <c r="N49" s="20"/>
    </row>
    <row r="50" spans="1:14" ht="26.25" x14ac:dyDescent="0.25">
      <c r="A50" s="32" t="s">
        <v>127</v>
      </c>
      <c r="B50" s="26" t="s">
        <v>61</v>
      </c>
      <c r="C50" s="26">
        <v>6</v>
      </c>
      <c r="D50" s="26">
        <v>115</v>
      </c>
      <c r="E50" s="26">
        <v>0.1</v>
      </c>
      <c r="F50" s="26">
        <v>0.1</v>
      </c>
      <c r="G50" s="26" t="s">
        <v>146</v>
      </c>
      <c r="H50" s="26" t="s">
        <v>25</v>
      </c>
      <c r="I50" s="26"/>
      <c r="J50" s="48"/>
      <c r="K50" s="48">
        <f t="shared" si="0"/>
        <v>1</v>
      </c>
      <c r="L50" s="33">
        <v>0</v>
      </c>
      <c r="M50" s="20"/>
      <c r="N50" s="20"/>
    </row>
    <row r="51" spans="1:14" ht="26.25" x14ac:dyDescent="0.25">
      <c r="A51" s="32" t="s">
        <v>128</v>
      </c>
      <c r="B51" s="26" t="s">
        <v>129</v>
      </c>
      <c r="C51" s="26">
        <v>6</v>
      </c>
      <c r="D51" s="26">
        <v>100</v>
      </c>
      <c r="E51" s="26">
        <v>0.3</v>
      </c>
      <c r="F51" s="26">
        <v>0.3</v>
      </c>
      <c r="G51" s="26" t="s">
        <v>118</v>
      </c>
      <c r="H51" s="26" t="s">
        <v>40</v>
      </c>
      <c r="I51" s="26" t="s">
        <v>25</v>
      </c>
      <c r="J51" s="48" t="s">
        <v>188</v>
      </c>
      <c r="K51" s="48">
        <f t="shared" si="0"/>
        <v>0</v>
      </c>
      <c r="L51" s="33">
        <v>0</v>
      </c>
      <c r="M51" s="20"/>
      <c r="N51" s="20"/>
    </row>
    <row r="52" spans="1:14" ht="26.25" x14ac:dyDescent="0.25">
      <c r="A52" s="32" t="s">
        <v>52</v>
      </c>
      <c r="B52" s="26" t="s">
        <v>53</v>
      </c>
      <c r="C52" s="26">
        <v>6</v>
      </c>
      <c r="D52" s="26">
        <v>175</v>
      </c>
      <c r="E52" s="26">
        <v>0.18</v>
      </c>
      <c r="F52" s="26">
        <v>0.12</v>
      </c>
      <c r="G52" s="26" t="s">
        <v>118</v>
      </c>
      <c r="H52" s="26" t="s">
        <v>25</v>
      </c>
      <c r="I52" s="26" t="s">
        <v>25</v>
      </c>
      <c r="J52" s="48"/>
      <c r="K52" s="48">
        <f t="shared" si="0"/>
        <v>0</v>
      </c>
      <c r="L52" s="33">
        <v>1</v>
      </c>
      <c r="M52" s="20"/>
      <c r="N52" s="20"/>
    </row>
    <row r="53" spans="1:14" ht="26.25" x14ac:dyDescent="0.25">
      <c r="A53" s="32" t="s">
        <v>56</v>
      </c>
      <c r="B53" s="26" t="s">
        <v>20</v>
      </c>
      <c r="C53" s="26">
        <v>6</v>
      </c>
      <c r="D53" s="26">
        <v>160</v>
      </c>
      <c r="E53" s="26">
        <v>0.5</v>
      </c>
      <c r="F53" s="26">
        <v>0.2</v>
      </c>
      <c r="G53" s="26" t="s">
        <v>130</v>
      </c>
      <c r="H53" s="26" t="s">
        <v>25</v>
      </c>
      <c r="I53" s="26" t="s">
        <v>25</v>
      </c>
      <c r="J53" s="48"/>
      <c r="K53" s="48">
        <f t="shared" si="0"/>
        <v>0</v>
      </c>
      <c r="L53" s="33">
        <v>1</v>
      </c>
      <c r="M53" s="20"/>
      <c r="N53" s="20"/>
    </row>
    <row r="54" spans="1:14" ht="51.75" x14ac:dyDescent="0.25">
      <c r="A54" s="32" t="s">
        <v>60</v>
      </c>
      <c r="B54" s="26" t="s">
        <v>61</v>
      </c>
      <c r="C54" s="26">
        <v>6</v>
      </c>
      <c r="D54" s="26">
        <v>85.2</v>
      </c>
      <c r="E54" s="26">
        <v>0.1</v>
      </c>
      <c r="F54" s="26">
        <v>0.1</v>
      </c>
      <c r="G54" s="26" t="s">
        <v>132</v>
      </c>
      <c r="H54" s="26" t="s">
        <v>33</v>
      </c>
      <c r="I54" s="26" t="s">
        <v>25</v>
      </c>
      <c r="J54" s="48"/>
      <c r="K54" s="48">
        <f t="shared" si="0"/>
        <v>0</v>
      </c>
      <c r="L54" s="33">
        <v>0</v>
      </c>
      <c r="M54" s="20"/>
      <c r="N54" s="20"/>
    </row>
    <row r="55" spans="1:14" ht="26.25" x14ac:dyDescent="0.25">
      <c r="A55" s="32" t="s">
        <v>66</v>
      </c>
      <c r="B55" s="26" t="s">
        <v>17</v>
      </c>
      <c r="C55" s="26">
        <v>6</v>
      </c>
      <c r="D55" s="26">
        <v>160</v>
      </c>
      <c r="E55" s="26">
        <v>0.02</v>
      </c>
      <c r="F55" s="26">
        <v>0.01</v>
      </c>
      <c r="G55" s="26" t="s">
        <v>118</v>
      </c>
      <c r="H55" s="26" t="s">
        <v>25</v>
      </c>
      <c r="I55" s="26" t="s">
        <v>25</v>
      </c>
      <c r="J55" s="48"/>
      <c r="K55" s="48">
        <f t="shared" si="0"/>
        <v>0</v>
      </c>
      <c r="L55" s="33">
        <v>0</v>
      </c>
      <c r="M55" s="20"/>
      <c r="N55" s="20"/>
    </row>
    <row r="56" spans="1:14" ht="39" x14ac:dyDescent="0.25">
      <c r="A56" s="32" t="s">
        <v>67</v>
      </c>
      <c r="B56" s="26" t="s">
        <v>17</v>
      </c>
      <c r="C56" s="26">
        <v>6</v>
      </c>
      <c r="D56" s="28">
        <v>1000</v>
      </c>
      <c r="E56" s="26">
        <v>0.1</v>
      </c>
      <c r="F56" s="26">
        <v>0.01</v>
      </c>
      <c r="G56" s="26" t="s">
        <v>133</v>
      </c>
      <c r="H56" s="26" t="s">
        <v>30</v>
      </c>
      <c r="I56" s="26" t="s">
        <v>25</v>
      </c>
      <c r="J56" s="48"/>
      <c r="K56" s="48">
        <f t="shared" si="0"/>
        <v>0</v>
      </c>
      <c r="L56" s="33">
        <v>0</v>
      </c>
      <c r="M56" s="20"/>
      <c r="N56" s="20"/>
    </row>
    <row r="57" spans="1:14" ht="39" x14ac:dyDescent="0.25">
      <c r="A57" s="32" t="s">
        <v>69</v>
      </c>
      <c r="B57" s="26" t="s">
        <v>20</v>
      </c>
      <c r="C57" s="26">
        <v>6</v>
      </c>
      <c r="D57" s="26">
        <v>15</v>
      </c>
      <c r="E57" s="26">
        <v>1</v>
      </c>
      <c r="F57" s="26">
        <v>1</v>
      </c>
      <c r="G57" s="26" t="s">
        <v>115</v>
      </c>
      <c r="H57" s="26" t="s">
        <v>25</v>
      </c>
      <c r="I57" s="26" t="s">
        <v>25</v>
      </c>
      <c r="J57" s="48"/>
      <c r="K57" s="48">
        <f t="shared" si="0"/>
        <v>0</v>
      </c>
      <c r="L57" s="33">
        <v>1</v>
      </c>
      <c r="M57" s="20"/>
      <c r="N57" s="20"/>
    </row>
    <row r="58" spans="1:14" ht="26.25" x14ac:dyDescent="0.25">
      <c r="A58" s="32" t="s">
        <v>147</v>
      </c>
      <c r="B58" s="26" t="s">
        <v>20</v>
      </c>
      <c r="C58" s="26">
        <v>6</v>
      </c>
      <c r="D58" s="26">
        <v>200</v>
      </c>
      <c r="E58" s="26">
        <v>0.05</v>
      </c>
      <c r="F58" s="26">
        <v>0.05</v>
      </c>
      <c r="G58" s="26" t="s">
        <v>132</v>
      </c>
      <c r="H58" s="26" t="s">
        <v>40</v>
      </c>
      <c r="I58" s="26" t="s">
        <v>25</v>
      </c>
      <c r="J58" s="48" t="s">
        <v>188</v>
      </c>
      <c r="K58" s="48">
        <f t="shared" si="0"/>
        <v>0</v>
      </c>
      <c r="L58" s="33">
        <v>1</v>
      </c>
      <c r="M58" s="20"/>
      <c r="N58" s="20"/>
    </row>
    <row r="59" spans="1:14" x14ac:dyDescent="0.25">
      <c r="A59" s="32" t="s">
        <v>106</v>
      </c>
      <c r="B59" s="26" t="s">
        <v>20</v>
      </c>
      <c r="C59" s="26">
        <v>6</v>
      </c>
      <c r="D59" s="26">
        <v>50</v>
      </c>
      <c r="E59" s="26">
        <v>5</v>
      </c>
      <c r="F59" s="26">
        <v>2</v>
      </c>
      <c r="G59" s="26" t="s">
        <v>148</v>
      </c>
      <c r="H59" s="26" t="s">
        <v>40</v>
      </c>
      <c r="I59" s="26"/>
      <c r="J59" s="48"/>
      <c r="K59" s="48">
        <f t="shared" si="0"/>
        <v>1</v>
      </c>
      <c r="L59" s="33">
        <v>1</v>
      </c>
      <c r="M59" s="20"/>
      <c r="N59" s="20"/>
    </row>
    <row r="60" spans="1:14" x14ac:dyDescent="0.25">
      <c r="A60" s="32" t="s">
        <v>76</v>
      </c>
      <c r="B60" s="26" t="s">
        <v>32</v>
      </c>
      <c r="C60" s="26">
        <v>6</v>
      </c>
      <c r="D60" s="26">
        <v>36</v>
      </c>
      <c r="E60" s="26">
        <v>1</v>
      </c>
      <c r="F60" s="26">
        <v>0.6</v>
      </c>
      <c r="G60" s="26" t="s">
        <v>98</v>
      </c>
      <c r="H60" s="26" t="s">
        <v>25</v>
      </c>
      <c r="I60" s="26"/>
      <c r="J60" s="48" t="s">
        <v>25</v>
      </c>
      <c r="K60" s="48">
        <f t="shared" si="0"/>
        <v>0</v>
      </c>
      <c r="L60" s="33">
        <v>0</v>
      </c>
      <c r="M60" s="20"/>
      <c r="N60" s="20"/>
    </row>
    <row r="61" spans="1:14" ht="26.25" x14ac:dyDescent="0.25">
      <c r="A61" s="32" t="s">
        <v>135</v>
      </c>
      <c r="B61" s="26" t="s">
        <v>136</v>
      </c>
      <c r="C61" s="26">
        <v>6</v>
      </c>
      <c r="D61" s="26">
        <v>200</v>
      </c>
      <c r="E61" s="26">
        <v>0.3</v>
      </c>
      <c r="F61" s="26">
        <v>0.06</v>
      </c>
      <c r="G61" s="26" t="s">
        <v>112</v>
      </c>
      <c r="H61" s="26" t="s">
        <v>30</v>
      </c>
      <c r="I61" s="26" t="s">
        <v>30</v>
      </c>
      <c r="J61" s="48"/>
      <c r="K61" s="48">
        <f t="shared" si="0"/>
        <v>0</v>
      </c>
      <c r="L61" s="33">
        <v>0</v>
      </c>
      <c r="M61" s="20"/>
      <c r="N61" s="20"/>
    </row>
    <row r="62" spans="1:14" ht="77.25" x14ac:dyDescent="0.25">
      <c r="A62" s="32" t="s">
        <v>149</v>
      </c>
      <c r="B62" s="26" t="s">
        <v>20</v>
      </c>
      <c r="C62" s="26">
        <v>6</v>
      </c>
      <c r="D62" s="26">
        <v>400</v>
      </c>
      <c r="E62" s="26">
        <v>2.1000000000000001E-2</v>
      </c>
      <c r="F62" s="26">
        <v>2.1000000000000001E-2</v>
      </c>
      <c r="G62" s="26" t="s">
        <v>132</v>
      </c>
      <c r="H62" s="26" t="s">
        <v>150</v>
      </c>
      <c r="I62" s="26" t="s">
        <v>25</v>
      </c>
      <c r="J62" s="48" t="s">
        <v>189</v>
      </c>
      <c r="K62" s="48">
        <f t="shared" si="0"/>
        <v>0</v>
      </c>
      <c r="L62" s="33">
        <v>1</v>
      </c>
      <c r="M62" s="20"/>
      <c r="N62" s="20"/>
    </row>
    <row r="63" spans="1:14" ht="39" x14ac:dyDescent="0.25">
      <c r="A63" s="32" t="s">
        <v>137</v>
      </c>
      <c r="B63" s="26" t="s">
        <v>138</v>
      </c>
      <c r="C63" s="26">
        <v>6</v>
      </c>
      <c r="D63" s="26">
        <v>240</v>
      </c>
      <c r="E63" s="26">
        <v>8.9999999999999993E-3</v>
      </c>
      <c r="F63" s="26">
        <v>4.0000000000000001E-3</v>
      </c>
      <c r="G63" s="26" t="s">
        <v>132</v>
      </c>
      <c r="H63" s="26" t="s">
        <v>94</v>
      </c>
      <c r="I63" s="26" t="s">
        <v>25</v>
      </c>
      <c r="J63" s="48" t="s">
        <v>186</v>
      </c>
      <c r="K63" s="48">
        <f t="shared" si="0"/>
        <v>0</v>
      </c>
      <c r="L63" s="33">
        <v>0</v>
      </c>
      <c r="M63" s="20"/>
      <c r="N63" s="20"/>
    </row>
    <row r="64" spans="1:14" ht="26.25" x14ac:dyDescent="0.25">
      <c r="A64" s="32" t="s">
        <v>81</v>
      </c>
      <c r="B64" s="26" t="s">
        <v>82</v>
      </c>
      <c r="C64" s="26">
        <v>6</v>
      </c>
      <c r="D64" s="26">
        <v>200</v>
      </c>
      <c r="E64" s="26">
        <v>8.0000000000000002E-3</v>
      </c>
      <c r="F64" s="26">
        <v>8.0000000000000002E-3</v>
      </c>
      <c r="G64" s="26" t="s">
        <v>110</v>
      </c>
      <c r="H64" s="26" t="s">
        <v>25</v>
      </c>
      <c r="I64" s="26" t="s">
        <v>25</v>
      </c>
      <c r="J64" s="48"/>
      <c r="K64" s="48">
        <f t="shared" si="0"/>
        <v>0</v>
      </c>
      <c r="L64" s="33">
        <v>0</v>
      </c>
      <c r="M64" s="20"/>
      <c r="N64" s="20"/>
    </row>
    <row r="65" spans="1:14" ht="39" x14ac:dyDescent="0.25">
      <c r="A65" s="32" t="s">
        <v>140</v>
      </c>
      <c r="B65" s="26" t="s">
        <v>85</v>
      </c>
      <c r="C65" s="26">
        <v>6</v>
      </c>
      <c r="D65" s="26">
        <v>500</v>
      </c>
      <c r="E65" s="26">
        <v>0.1</v>
      </c>
      <c r="F65" s="26">
        <v>0.05</v>
      </c>
      <c r="G65" s="26" t="s">
        <v>112</v>
      </c>
      <c r="H65" s="26" t="s">
        <v>94</v>
      </c>
      <c r="I65" s="26" t="s">
        <v>25</v>
      </c>
      <c r="J65" s="48" t="s">
        <v>21</v>
      </c>
      <c r="K65" s="48">
        <f t="shared" si="0"/>
        <v>0</v>
      </c>
      <c r="L65" s="33">
        <v>0</v>
      </c>
      <c r="M65" s="20"/>
      <c r="N65" s="20"/>
    </row>
    <row r="66" spans="1:14" ht="26.25" x14ac:dyDescent="0.25">
      <c r="A66" s="32" t="s">
        <v>86</v>
      </c>
      <c r="B66" s="26" t="s">
        <v>20</v>
      </c>
      <c r="C66" s="26">
        <v>6</v>
      </c>
      <c r="D66" s="26">
        <v>200</v>
      </c>
      <c r="E66" s="26">
        <v>0.1</v>
      </c>
      <c r="F66" s="26">
        <v>0.05</v>
      </c>
      <c r="G66" s="26" t="s">
        <v>151</v>
      </c>
      <c r="H66" s="26" t="s">
        <v>25</v>
      </c>
      <c r="I66" s="26" t="s">
        <v>25</v>
      </c>
      <c r="J66" s="48"/>
      <c r="K66" s="48">
        <f t="shared" si="0"/>
        <v>0</v>
      </c>
      <c r="L66" s="33">
        <v>1</v>
      </c>
      <c r="M66" s="20"/>
      <c r="N66" s="20"/>
    </row>
    <row r="67" spans="1:14" ht="39" x14ac:dyDescent="0.25">
      <c r="A67" s="32" t="s">
        <v>88</v>
      </c>
      <c r="B67" s="26" t="s">
        <v>20</v>
      </c>
      <c r="C67" s="26">
        <v>6</v>
      </c>
      <c r="D67" s="26">
        <v>180</v>
      </c>
      <c r="E67" s="26">
        <v>2.1000000000000001E-2</v>
      </c>
      <c r="F67" s="26">
        <v>7.0000000000000001E-3</v>
      </c>
      <c r="G67" s="26" t="s">
        <v>118</v>
      </c>
      <c r="H67" s="26" t="s">
        <v>94</v>
      </c>
      <c r="I67" s="26" t="s">
        <v>40</v>
      </c>
      <c r="J67" s="48"/>
      <c r="K67" s="48">
        <f t="shared" si="0"/>
        <v>0</v>
      </c>
      <c r="L67" s="33">
        <v>1</v>
      </c>
      <c r="M67" s="20"/>
      <c r="N67" s="20"/>
    </row>
    <row r="68" spans="1:14" ht="51.75" x14ac:dyDescent="0.25">
      <c r="A68" s="32" t="s">
        <v>109</v>
      </c>
      <c r="B68" s="26" t="s">
        <v>65</v>
      </c>
      <c r="C68" s="26">
        <v>6</v>
      </c>
      <c r="D68" s="26">
        <v>400</v>
      </c>
      <c r="E68" s="26">
        <v>0.01</v>
      </c>
      <c r="F68" s="26">
        <v>7.4999999999999997E-3</v>
      </c>
      <c r="G68" s="26" t="s">
        <v>152</v>
      </c>
      <c r="H68" s="26" t="s">
        <v>25</v>
      </c>
      <c r="I68" s="26"/>
      <c r="J68" s="48" t="s">
        <v>25</v>
      </c>
      <c r="K68" s="48">
        <f t="shared" ref="K68:K129" si="1">IF(AND(ISBLANK(I68),ISBLANK(J68)),1,0)</f>
        <v>0</v>
      </c>
      <c r="L68" s="33">
        <v>1</v>
      </c>
      <c r="M68" s="20"/>
      <c r="N68" s="20"/>
    </row>
    <row r="69" spans="1:14" x14ac:dyDescent="0.25">
      <c r="A69" s="32" t="s">
        <v>111</v>
      </c>
      <c r="B69" s="26" t="s">
        <v>102</v>
      </c>
      <c r="C69" s="26">
        <v>6</v>
      </c>
      <c r="D69" s="26">
        <v>180</v>
      </c>
      <c r="E69" s="26">
        <v>0.2</v>
      </c>
      <c r="F69" s="26">
        <v>0.1</v>
      </c>
      <c r="G69" s="26" t="s">
        <v>98</v>
      </c>
      <c r="H69" s="26" t="s">
        <v>25</v>
      </c>
      <c r="I69" s="26"/>
      <c r="J69" s="48"/>
      <c r="K69" s="48">
        <f t="shared" si="1"/>
        <v>1</v>
      </c>
      <c r="L69" s="33">
        <v>0</v>
      </c>
      <c r="M69" s="20"/>
      <c r="N69" s="20"/>
    </row>
    <row r="70" spans="1:14" x14ac:dyDescent="0.25">
      <c r="A70" s="32" t="s">
        <v>142</v>
      </c>
      <c r="B70" s="26" t="s">
        <v>61</v>
      </c>
      <c r="C70" s="26">
        <v>6</v>
      </c>
      <c r="D70" s="26">
        <v>100</v>
      </c>
      <c r="E70" s="26">
        <v>0.02</v>
      </c>
      <c r="F70" s="26">
        <v>0.01</v>
      </c>
      <c r="G70" s="26" t="s">
        <v>118</v>
      </c>
      <c r="H70" s="26" t="s">
        <v>25</v>
      </c>
      <c r="I70" s="26"/>
      <c r="J70" s="48"/>
      <c r="K70" s="48">
        <f t="shared" si="1"/>
        <v>1</v>
      </c>
      <c r="L70" s="33">
        <v>1</v>
      </c>
      <c r="M70" s="20"/>
      <c r="N70" s="20"/>
    </row>
    <row r="71" spans="1:14" ht="77.25" x14ac:dyDescent="0.25">
      <c r="A71" s="32" t="s">
        <v>16</v>
      </c>
      <c r="B71" s="26" t="s">
        <v>17</v>
      </c>
      <c r="C71" s="26">
        <v>12</v>
      </c>
      <c r="D71" s="26">
        <v>150</v>
      </c>
      <c r="E71" s="26">
        <v>0.01</v>
      </c>
      <c r="F71" s="26">
        <v>0.01</v>
      </c>
      <c r="G71" s="26" t="s">
        <v>143</v>
      </c>
      <c r="H71" s="26" t="s">
        <v>51</v>
      </c>
      <c r="I71" s="26" t="s">
        <v>25</v>
      </c>
      <c r="J71" s="48" t="s">
        <v>190</v>
      </c>
      <c r="K71" s="48">
        <f t="shared" si="1"/>
        <v>0</v>
      </c>
      <c r="L71" s="33">
        <v>0</v>
      </c>
      <c r="M71" s="20"/>
      <c r="N71" s="20"/>
    </row>
    <row r="72" spans="1:14" ht="51.75" x14ac:dyDescent="0.25">
      <c r="A72" s="32" t="s">
        <v>114</v>
      </c>
      <c r="B72" s="26" t="s">
        <v>20</v>
      </c>
      <c r="C72" s="26">
        <v>12</v>
      </c>
      <c r="D72" s="26">
        <v>108</v>
      </c>
      <c r="E72" s="26">
        <v>2.5000000000000001E-3</v>
      </c>
      <c r="F72" s="26">
        <v>2.5000000000000001E-2</v>
      </c>
      <c r="G72" s="26" t="s">
        <v>115</v>
      </c>
      <c r="H72" s="26" t="s">
        <v>89</v>
      </c>
      <c r="I72" s="26" t="s">
        <v>15</v>
      </c>
      <c r="J72" s="48" t="s">
        <v>171</v>
      </c>
      <c r="K72" s="48">
        <f t="shared" si="1"/>
        <v>0</v>
      </c>
      <c r="L72" s="33">
        <v>1</v>
      </c>
      <c r="M72" s="20"/>
      <c r="N72" s="20"/>
    </row>
    <row r="73" spans="1:14" ht="64.5" x14ac:dyDescent="0.25">
      <c r="A73" s="32" t="s">
        <v>28</v>
      </c>
      <c r="B73" s="26" t="s">
        <v>29</v>
      </c>
      <c r="C73" s="26">
        <v>12</v>
      </c>
      <c r="D73" s="26">
        <v>165</v>
      </c>
      <c r="E73" s="26">
        <v>0.2</v>
      </c>
      <c r="F73" s="26">
        <v>0.2</v>
      </c>
      <c r="G73" s="26" t="s">
        <v>98</v>
      </c>
      <c r="H73" s="26" t="s">
        <v>30</v>
      </c>
      <c r="I73" s="26"/>
      <c r="J73" s="48"/>
      <c r="K73" s="48">
        <f t="shared" si="1"/>
        <v>1</v>
      </c>
      <c r="L73" s="33">
        <v>0</v>
      </c>
      <c r="M73" s="20"/>
      <c r="N73" s="20"/>
    </row>
    <row r="74" spans="1:14" ht="26.25" x14ac:dyDescent="0.25">
      <c r="A74" s="32" t="s">
        <v>34</v>
      </c>
      <c r="B74" s="26" t="s">
        <v>35</v>
      </c>
      <c r="C74" s="26">
        <v>12</v>
      </c>
      <c r="D74" s="26">
        <v>250</v>
      </c>
      <c r="E74" s="26">
        <v>0.08</v>
      </c>
      <c r="F74" s="26">
        <v>0.04</v>
      </c>
      <c r="G74" s="26" t="s">
        <v>153</v>
      </c>
      <c r="H74" s="26" t="s">
        <v>25</v>
      </c>
      <c r="I74" s="26" t="s">
        <v>25</v>
      </c>
      <c r="J74" s="48"/>
      <c r="K74" s="48">
        <f t="shared" si="1"/>
        <v>0</v>
      </c>
      <c r="L74" s="33">
        <v>1</v>
      </c>
      <c r="M74" s="20"/>
      <c r="N74" s="20"/>
    </row>
    <row r="75" spans="1:14" ht="39" x14ac:dyDescent="0.25">
      <c r="A75" s="32" t="s">
        <v>36</v>
      </c>
      <c r="B75" s="26" t="s">
        <v>20</v>
      </c>
      <c r="C75" s="26">
        <v>12</v>
      </c>
      <c r="D75" s="26">
        <v>115</v>
      </c>
      <c r="E75" s="26">
        <v>0.3</v>
      </c>
      <c r="F75" s="26">
        <v>2.4E-2</v>
      </c>
      <c r="G75" s="26" t="s">
        <v>98</v>
      </c>
      <c r="H75" s="26" t="s">
        <v>25</v>
      </c>
      <c r="I75" s="26"/>
      <c r="J75" s="48" t="s">
        <v>25</v>
      </c>
      <c r="K75" s="48">
        <f t="shared" si="1"/>
        <v>0</v>
      </c>
      <c r="L75" s="33">
        <v>1</v>
      </c>
      <c r="M75" s="20"/>
      <c r="N75" s="20"/>
    </row>
    <row r="76" spans="1:14" x14ac:dyDescent="0.25">
      <c r="A76" s="32" t="s">
        <v>121</v>
      </c>
      <c r="B76" s="26" t="s">
        <v>82</v>
      </c>
      <c r="C76" s="26">
        <v>12</v>
      </c>
      <c r="D76" s="26">
        <v>102</v>
      </c>
      <c r="E76" s="26">
        <v>7.0000000000000007E-2</v>
      </c>
      <c r="F76" s="26">
        <v>5.6000000000000001E-2</v>
      </c>
      <c r="G76" s="26" t="s">
        <v>144</v>
      </c>
      <c r="H76" s="26" t="s">
        <v>25</v>
      </c>
      <c r="I76" s="26"/>
      <c r="J76" s="48" t="s">
        <v>25</v>
      </c>
      <c r="K76" s="48">
        <f t="shared" si="1"/>
        <v>0</v>
      </c>
      <c r="L76" s="33">
        <v>1</v>
      </c>
      <c r="M76" s="20"/>
      <c r="N76" s="20"/>
    </row>
    <row r="77" spans="1:14" ht="26.25" x14ac:dyDescent="0.25">
      <c r="A77" s="32" t="s">
        <v>123</v>
      </c>
      <c r="B77" s="26" t="s">
        <v>124</v>
      </c>
      <c r="C77" s="26">
        <v>12</v>
      </c>
      <c r="D77" s="26">
        <v>240</v>
      </c>
      <c r="E77" s="26">
        <v>0.05</v>
      </c>
      <c r="F77" s="26">
        <v>0.05</v>
      </c>
      <c r="G77" s="26" t="s">
        <v>110</v>
      </c>
      <c r="H77" s="26" t="s">
        <v>25</v>
      </c>
      <c r="I77" s="26"/>
      <c r="J77" s="48"/>
      <c r="K77" s="48">
        <f t="shared" si="1"/>
        <v>1</v>
      </c>
      <c r="L77" s="33">
        <v>0</v>
      </c>
      <c r="M77" s="20"/>
      <c r="N77" s="20"/>
    </row>
    <row r="78" spans="1:14" ht="51.75" x14ac:dyDescent="0.25">
      <c r="A78" s="32" t="s">
        <v>41</v>
      </c>
      <c r="B78" s="26" t="s">
        <v>42</v>
      </c>
      <c r="C78" s="26">
        <v>12</v>
      </c>
      <c r="D78" s="26">
        <v>420</v>
      </c>
      <c r="E78" s="26">
        <v>0.1</v>
      </c>
      <c r="F78" s="26">
        <v>0.01</v>
      </c>
      <c r="G78" s="26" t="s">
        <v>152</v>
      </c>
      <c r="H78" s="26" t="s">
        <v>25</v>
      </c>
      <c r="I78" s="26"/>
      <c r="J78" s="48" t="s">
        <v>25</v>
      </c>
      <c r="K78" s="48">
        <f t="shared" si="1"/>
        <v>0</v>
      </c>
      <c r="L78" s="33">
        <v>1</v>
      </c>
      <c r="M78" s="20"/>
      <c r="N78" s="20"/>
    </row>
    <row r="79" spans="1:14" ht="51.75" x14ac:dyDescent="0.25">
      <c r="A79" s="32" t="s">
        <v>125</v>
      </c>
      <c r="B79" s="26" t="s">
        <v>126</v>
      </c>
      <c r="C79" s="26">
        <v>12</v>
      </c>
      <c r="D79" s="26">
        <v>110</v>
      </c>
      <c r="E79" s="26">
        <v>3.0000000000000001E-3</v>
      </c>
      <c r="F79" s="26">
        <v>3.0000000000000001E-3</v>
      </c>
      <c r="G79" s="26" t="s">
        <v>117</v>
      </c>
      <c r="H79" s="26" t="s">
        <v>33</v>
      </c>
      <c r="I79" s="26" t="s">
        <v>25</v>
      </c>
      <c r="J79" s="48"/>
      <c r="K79" s="48">
        <f t="shared" si="1"/>
        <v>0</v>
      </c>
      <c r="L79" s="33">
        <v>0</v>
      </c>
      <c r="M79" s="20"/>
      <c r="N79" s="20"/>
    </row>
    <row r="80" spans="1:14" ht="26.25" x14ac:dyDescent="0.25">
      <c r="A80" s="34" t="s">
        <v>128</v>
      </c>
      <c r="B80" s="29" t="s">
        <v>129</v>
      </c>
      <c r="C80" s="29">
        <v>12</v>
      </c>
      <c r="D80" s="26">
        <v>190</v>
      </c>
      <c r="E80" s="29">
        <v>0.03</v>
      </c>
      <c r="F80" s="29">
        <v>0.03</v>
      </c>
      <c r="G80" s="26" t="s">
        <v>132</v>
      </c>
      <c r="H80" s="26" t="s">
        <v>25</v>
      </c>
      <c r="I80" s="26"/>
      <c r="J80" s="48"/>
      <c r="K80" s="48">
        <f t="shared" si="1"/>
        <v>1</v>
      </c>
      <c r="L80" s="33">
        <v>0</v>
      </c>
      <c r="M80" s="20"/>
      <c r="N80" s="20"/>
    </row>
    <row r="81" spans="1:14" ht="26.25" x14ac:dyDescent="0.25">
      <c r="A81" s="32" t="s">
        <v>52</v>
      </c>
      <c r="B81" s="26" t="s">
        <v>53</v>
      </c>
      <c r="C81" s="26">
        <v>12</v>
      </c>
      <c r="D81" s="26">
        <v>175</v>
      </c>
      <c r="E81" s="26">
        <v>0.18</v>
      </c>
      <c r="F81" s="26">
        <v>0.09</v>
      </c>
      <c r="G81" s="26" t="s">
        <v>118</v>
      </c>
      <c r="H81" s="26" t="s">
        <v>25</v>
      </c>
      <c r="I81" s="26" t="s">
        <v>25</v>
      </c>
      <c r="J81" s="48"/>
      <c r="K81" s="48">
        <f t="shared" si="1"/>
        <v>0</v>
      </c>
      <c r="L81" s="33">
        <v>1</v>
      </c>
      <c r="M81" s="20"/>
      <c r="N81" s="20"/>
    </row>
    <row r="82" spans="1:14" ht="26.25" x14ac:dyDescent="0.25">
      <c r="A82" s="32" t="s">
        <v>154</v>
      </c>
      <c r="B82" s="26" t="s">
        <v>55</v>
      </c>
      <c r="C82" s="26">
        <v>12</v>
      </c>
      <c r="D82" s="26">
        <v>120</v>
      </c>
      <c r="E82" s="26">
        <v>0.05</v>
      </c>
      <c r="F82" s="26">
        <v>0.03</v>
      </c>
      <c r="G82" s="26" t="s">
        <v>144</v>
      </c>
      <c r="H82" s="26" t="s">
        <v>25</v>
      </c>
      <c r="I82" s="26"/>
      <c r="J82" s="48" t="s">
        <v>25</v>
      </c>
      <c r="K82" s="48">
        <f t="shared" si="1"/>
        <v>0</v>
      </c>
      <c r="L82" s="33">
        <v>0</v>
      </c>
      <c r="M82" s="20"/>
      <c r="N82" s="20"/>
    </row>
    <row r="83" spans="1:14" ht="26.25" x14ac:dyDescent="0.25">
      <c r="A83" s="32" t="s">
        <v>56</v>
      </c>
      <c r="B83" s="26" t="s">
        <v>20</v>
      </c>
      <c r="C83" s="26">
        <v>12</v>
      </c>
      <c r="D83" s="26">
        <v>500</v>
      </c>
      <c r="E83" s="26">
        <v>0.5</v>
      </c>
      <c r="F83" s="26">
        <v>0.2</v>
      </c>
      <c r="G83" s="26" t="s">
        <v>130</v>
      </c>
      <c r="H83" s="26" t="s">
        <v>30</v>
      </c>
      <c r="I83" s="26"/>
      <c r="J83" s="48"/>
      <c r="K83" s="48">
        <f t="shared" si="1"/>
        <v>1</v>
      </c>
      <c r="L83" s="33">
        <v>1</v>
      </c>
      <c r="M83" s="20"/>
      <c r="N83" s="20"/>
    </row>
    <row r="84" spans="1:14" ht="51.75" x14ac:dyDescent="0.25">
      <c r="A84" s="32" t="s">
        <v>60</v>
      </c>
      <c r="B84" s="26" t="s">
        <v>61</v>
      </c>
      <c r="C84" s="26">
        <v>12</v>
      </c>
      <c r="D84" s="26">
        <v>96</v>
      </c>
      <c r="E84" s="26">
        <v>0.1</v>
      </c>
      <c r="F84" s="26">
        <v>0.1</v>
      </c>
      <c r="G84" s="26" t="s">
        <v>132</v>
      </c>
      <c r="H84" s="26" t="s">
        <v>33</v>
      </c>
      <c r="I84" s="26" t="s">
        <v>25</v>
      </c>
      <c r="J84" s="48"/>
      <c r="K84" s="48">
        <f t="shared" si="1"/>
        <v>0</v>
      </c>
      <c r="L84" s="33">
        <v>0</v>
      </c>
      <c r="M84" s="20"/>
      <c r="N84" s="20"/>
    </row>
    <row r="85" spans="1:14" ht="26.25" x14ac:dyDescent="0.25">
      <c r="A85" s="32" t="s">
        <v>66</v>
      </c>
      <c r="B85" s="26" t="s">
        <v>17</v>
      </c>
      <c r="C85" s="26">
        <v>12</v>
      </c>
      <c r="D85" s="26">
        <v>160</v>
      </c>
      <c r="E85" s="26">
        <v>3.1E-2</v>
      </c>
      <c r="F85" s="26">
        <v>2.7E-2</v>
      </c>
      <c r="G85" s="26" t="s">
        <v>118</v>
      </c>
      <c r="H85" s="26" t="s">
        <v>25</v>
      </c>
      <c r="I85" s="26" t="s">
        <v>25</v>
      </c>
      <c r="J85" s="48"/>
      <c r="K85" s="48">
        <f t="shared" si="1"/>
        <v>0</v>
      </c>
      <c r="L85" s="33">
        <v>0</v>
      </c>
      <c r="M85" s="20"/>
      <c r="N85" s="20"/>
    </row>
    <row r="86" spans="1:14" ht="39" x14ac:dyDescent="0.25">
      <c r="A86" s="32" t="s">
        <v>67</v>
      </c>
      <c r="B86" s="26" t="s">
        <v>17</v>
      </c>
      <c r="C86" s="26">
        <v>12</v>
      </c>
      <c r="D86" s="28">
        <v>1000</v>
      </c>
      <c r="E86" s="26">
        <v>0.05</v>
      </c>
      <c r="F86" s="26">
        <v>0.01</v>
      </c>
      <c r="G86" s="26" t="s">
        <v>133</v>
      </c>
      <c r="H86" s="26" t="s">
        <v>78</v>
      </c>
      <c r="I86" s="26" t="s">
        <v>25</v>
      </c>
      <c r="J86" s="48"/>
      <c r="K86" s="48">
        <f t="shared" si="1"/>
        <v>0</v>
      </c>
      <c r="L86" s="33">
        <v>0</v>
      </c>
      <c r="M86" s="20"/>
      <c r="N86" s="20"/>
    </row>
    <row r="87" spans="1:14" ht="39" x14ac:dyDescent="0.25">
      <c r="A87" s="32" t="s">
        <v>69</v>
      </c>
      <c r="B87" s="26" t="s">
        <v>20</v>
      </c>
      <c r="C87" s="26">
        <v>12</v>
      </c>
      <c r="D87" s="26">
        <v>40</v>
      </c>
      <c r="E87" s="26">
        <v>1</v>
      </c>
      <c r="F87" s="26">
        <v>1</v>
      </c>
      <c r="G87" s="26" t="s">
        <v>155</v>
      </c>
      <c r="H87" s="26" t="s">
        <v>156</v>
      </c>
      <c r="I87" s="26"/>
      <c r="J87" s="48" t="s">
        <v>15</v>
      </c>
      <c r="K87" s="48">
        <f t="shared" si="1"/>
        <v>0</v>
      </c>
      <c r="L87" s="33">
        <v>1</v>
      </c>
      <c r="M87" s="20"/>
      <c r="N87" s="20"/>
    </row>
    <row r="88" spans="1:14" ht="26.25" x14ac:dyDescent="0.25">
      <c r="A88" s="32" t="s">
        <v>147</v>
      </c>
      <c r="B88" s="26" t="s">
        <v>20</v>
      </c>
      <c r="C88" s="26">
        <v>12</v>
      </c>
      <c r="D88" s="26">
        <v>400</v>
      </c>
      <c r="E88" s="26">
        <v>0.05</v>
      </c>
      <c r="F88" s="26">
        <v>0.05</v>
      </c>
      <c r="G88" s="26" t="s">
        <v>132</v>
      </c>
      <c r="H88" s="26" t="s">
        <v>40</v>
      </c>
      <c r="I88" s="26"/>
      <c r="J88" s="48" t="s">
        <v>25</v>
      </c>
      <c r="K88" s="48">
        <f t="shared" si="1"/>
        <v>0</v>
      </c>
      <c r="L88" s="33">
        <v>1</v>
      </c>
      <c r="M88" s="20"/>
      <c r="N88" s="20"/>
    </row>
    <row r="89" spans="1:14" ht="26.25" x14ac:dyDescent="0.25">
      <c r="A89" s="32" t="s">
        <v>135</v>
      </c>
      <c r="B89" s="26" t="s">
        <v>136</v>
      </c>
      <c r="C89" s="26">
        <v>12</v>
      </c>
      <c r="D89" s="26">
        <v>500</v>
      </c>
      <c r="E89" s="26">
        <v>0.3</v>
      </c>
      <c r="F89" s="26">
        <v>0.06</v>
      </c>
      <c r="G89" s="26" t="s">
        <v>112</v>
      </c>
      <c r="H89" s="26" t="s">
        <v>30</v>
      </c>
      <c r="I89" s="26" t="s">
        <v>30</v>
      </c>
      <c r="J89" s="48"/>
      <c r="K89" s="48">
        <f t="shared" si="1"/>
        <v>0</v>
      </c>
      <c r="L89" s="33">
        <v>0</v>
      </c>
      <c r="M89" s="20"/>
      <c r="N89" s="20"/>
    </row>
    <row r="90" spans="1:14" ht="77.25" x14ac:dyDescent="0.25">
      <c r="A90" s="32" t="s">
        <v>149</v>
      </c>
      <c r="B90" s="26" t="s">
        <v>20</v>
      </c>
      <c r="C90" s="26">
        <v>12</v>
      </c>
      <c r="D90" s="26">
        <v>400</v>
      </c>
      <c r="E90" s="26">
        <v>2.1000000000000001E-2</v>
      </c>
      <c r="F90" s="26">
        <v>2.1000000000000001E-2</v>
      </c>
      <c r="G90" s="26" t="s">
        <v>132</v>
      </c>
      <c r="H90" s="26" t="s">
        <v>150</v>
      </c>
      <c r="I90" s="26" t="s">
        <v>25</v>
      </c>
      <c r="J90" s="48" t="s">
        <v>189</v>
      </c>
      <c r="K90" s="48">
        <f t="shared" si="1"/>
        <v>0</v>
      </c>
      <c r="L90" s="33">
        <v>1</v>
      </c>
      <c r="M90" s="20"/>
      <c r="N90" s="20"/>
    </row>
    <row r="91" spans="1:14" ht="39" x14ac:dyDescent="0.25">
      <c r="A91" s="32" t="s">
        <v>137</v>
      </c>
      <c r="B91" s="26" t="s">
        <v>138</v>
      </c>
      <c r="C91" s="26">
        <v>12</v>
      </c>
      <c r="D91" s="26">
        <v>322</v>
      </c>
      <c r="E91" s="26">
        <v>8.9999999999999993E-3</v>
      </c>
      <c r="F91" s="26">
        <v>4.0000000000000001E-3</v>
      </c>
      <c r="G91" s="26" t="s">
        <v>132</v>
      </c>
      <c r="H91" s="26" t="s">
        <v>94</v>
      </c>
      <c r="I91" s="26" t="s">
        <v>25</v>
      </c>
      <c r="J91" s="48" t="s">
        <v>186</v>
      </c>
      <c r="K91" s="48">
        <f t="shared" si="1"/>
        <v>0</v>
      </c>
      <c r="L91" s="33">
        <v>0</v>
      </c>
      <c r="M91" s="20"/>
      <c r="N91" s="20"/>
    </row>
    <row r="92" spans="1:14" ht="51.75" x14ac:dyDescent="0.25">
      <c r="A92" s="32" t="s">
        <v>157</v>
      </c>
      <c r="B92" s="26" t="s">
        <v>20</v>
      </c>
      <c r="C92" s="26">
        <v>12</v>
      </c>
      <c r="D92" s="26">
        <v>180</v>
      </c>
      <c r="E92" s="26">
        <v>8.0000000000000002E-3</v>
      </c>
      <c r="F92" s="26">
        <v>8.0000000000000002E-3</v>
      </c>
      <c r="G92" s="26" t="s">
        <v>158</v>
      </c>
      <c r="H92" s="26" t="s">
        <v>94</v>
      </c>
      <c r="I92" s="26"/>
      <c r="J92" s="48"/>
      <c r="K92" s="48">
        <f t="shared" si="1"/>
        <v>1</v>
      </c>
      <c r="L92" s="33">
        <v>1</v>
      </c>
      <c r="M92" s="20"/>
      <c r="N92" s="20"/>
    </row>
    <row r="93" spans="1:14" ht="26.25" x14ac:dyDescent="0.25">
      <c r="A93" s="32" t="s">
        <v>81</v>
      </c>
      <c r="B93" s="26" t="s">
        <v>82</v>
      </c>
      <c r="C93" s="26">
        <v>12</v>
      </c>
      <c r="D93" s="26">
        <v>200</v>
      </c>
      <c r="E93" s="26">
        <v>8.0000000000000002E-3</v>
      </c>
      <c r="F93" s="26">
        <v>8.0000000000000002E-3</v>
      </c>
      <c r="G93" s="26" t="s">
        <v>110</v>
      </c>
      <c r="H93" s="26" t="s">
        <v>25</v>
      </c>
      <c r="I93" s="26" t="s">
        <v>25</v>
      </c>
      <c r="J93" s="48"/>
      <c r="K93" s="48">
        <f t="shared" si="1"/>
        <v>0</v>
      </c>
      <c r="L93" s="33">
        <v>0</v>
      </c>
    </row>
    <row r="94" spans="1:14" ht="39" x14ac:dyDescent="0.25">
      <c r="A94" s="32" t="s">
        <v>84</v>
      </c>
      <c r="B94" s="26" t="s">
        <v>85</v>
      </c>
      <c r="C94" s="26">
        <v>12</v>
      </c>
      <c r="D94" s="26">
        <v>500</v>
      </c>
      <c r="E94" s="26">
        <v>0.1</v>
      </c>
      <c r="F94" s="26">
        <v>0.05</v>
      </c>
      <c r="G94" s="26" t="s">
        <v>110</v>
      </c>
      <c r="H94" s="26" t="s">
        <v>94</v>
      </c>
      <c r="I94" s="26" t="s">
        <v>25</v>
      </c>
      <c r="J94" s="48" t="s">
        <v>21</v>
      </c>
      <c r="K94" s="48">
        <f t="shared" si="1"/>
        <v>0</v>
      </c>
      <c r="L94" s="33">
        <v>0</v>
      </c>
    </row>
    <row r="95" spans="1:14" ht="26.25" x14ac:dyDescent="0.25">
      <c r="A95" s="32" t="s">
        <v>86</v>
      </c>
      <c r="B95" s="26" t="s">
        <v>20</v>
      </c>
      <c r="C95" s="26">
        <v>12</v>
      </c>
      <c r="D95" s="26">
        <v>300</v>
      </c>
      <c r="E95" s="26">
        <v>0.1</v>
      </c>
      <c r="F95" s="26">
        <v>0.05</v>
      </c>
      <c r="G95" s="26" t="s">
        <v>141</v>
      </c>
      <c r="H95" s="26" t="s">
        <v>25</v>
      </c>
      <c r="I95" s="26"/>
      <c r="J95" s="48" t="s">
        <v>25</v>
      </c>
      <c r="K95" s="48">
        <f t="shared" si="1"/>
        <v>0</v>
      </c>
      <c r="L95" s="33">
        <v>1</v>
      </c>
    </row>
    <row r="96" spans="1:14" ht="39" x14ac:dyDescent="0.25">
      <c r="A96" s="32" t="s">
        <v>88</v>
      </c>
      <c r="B96" s="26" t="s">
        <v>20</v>
      </c>
      <c r="C96" s="26">
        <v>12</v>
      </c>
      <c r="D96" s="26">
        <v>100</v>
      </c>
      <c r="E96" s="26">
        <v>2.1000000000000001E-2</v>
      </c>
      <c r="F96" s="26">
        <v>7.0000000000000001E-3</v>
      </c>
      <c r="G96" s="26" t="s">
        <v>118</v>
      </c>
      <c r="H96" s="26" t="s">
        <v>94</v>
      </c>
      <c r="I96" s="26" t="s">
        <v>40</v>
      </c>
      <c r="J96" s="48"/>
      <c r="K96" s="48">
        <f t="shared" si="1"/>
        <v>0</v>
      </c>
      <c r="L96" s="33">
        <v>1</v>
      </c>
    </row>
    <row r="97" spans="1:12" ht="51.75" x14ac:dyDescent="0.25">
      <c r="A97" s="32" t="s">
        <v>109</v>
      </c>
      <c r="B97" s="26" t="s">
        <v>65</v>
      </c>
      <c r="C97" s="26">
        <v>16</v>
      </c>
      <c r="D97" s="26">
        <v>400</v>
      </c>
      <c r="E97" s="26">
        <v>0.01</v>
      </c>
      <c r="F97" s="26">
        <v>7.4999999999999997E-3</v>
      </c>
      <c r="G97" s="26" t="s">
        <v>152</v>
      </c>
      <c r="H97" s="26" t="s">
        <v>25</v>
      </c>
      <c r="I97" s="26"/>
      <c r="J97" s="48" t="s">
        <v>25</v>
      </c>
      <c r="K97" s="48">
        <f t="shared" si="1"/>
        <v>0</v>
      </c>
      <c r="L97" s="33">
        <v>1</v>
      </c>
    </row>
    <row r="98" spans="1:12" ht="39" x14ac:dyDescent="0.25">
      <c r="A98" s="32" t="s">
        <v>142</v>
      </c>
      <c r="B98" s="26" t="s">
        <v>61</v>
      </c>
      <c r="C98" s="26">
        <v>16</v>
      </c>
      <c r="D98" s="26">
        <v>220</v>
      </c>
      <c r="E98" s="26">
        <v>0.02</v>
      </c>
      <c r="F98" s="26">
        <v>0.01</v>
      </c>
      <c r="G98" s="26" t="s">
        <v>159</v>
      </c>
      <c r="H98" s="26" t="s">
        <v>160</v>
      </c>
      <c r="I98" s="26"/>
      <c r="J98" s="48"/>
      <c r="K98" s="48">
        <f t="shared" si="1"/>
        <v>1</v>
      </c>
      <c r="L98" s="33">
        <v>1</v>
      </c>
    </row>
    <row r="99" spans="1:12" ht="77.25" x14ac:dyDescent="0.25">
      <c r="A99" s="32" t="s">
        <v>16</v>
      </c>
      <c r="B99" s="26" t="s">
        <v>17</v>
      </c>
      <c r="C99" s="26">
        <v>16</v>
      </c>
      <c r="D99" s="26">
        <v>200</v>
      </c>
      <c r="E99" s="26">
        <v>0.01</v>
      </c>
      <c r="F99" s="26">
        <v>0.01</v>
      </c>
      <c r="G99" s="26" t="s">
        <v>143</v>
      </c>
      <c r="H99" s="26" t="s">
        <v>51</v>
      </c>
      <c r="I99" s="26" t="s">
        <v>25</v>
      </c>
      <c r="J99" s="48" t="s">
        <v>190</v>
      </c>
      <c r="K99" s="48">
        <f t="shared" si="1"/>
        <v>0</v>
      </c>
      <c r="L99" s="33">
        <v>0</v>
      </c>
    </row>
    <row r="100" spans="1:12" ht="39" x14ac:dyDescent="0.25">
      <c r="A100" s="32" t="s">
        <v>22</v>
      </c>
      <c r="B100" s="26" t="s">
        <v>20</v>
      </c>
      <c r="C100" s="26">
        <v>16</v>
      </c>
      <c r="D100" s="26">
        <v>500</v>
      </c>
      <c r="E100" s="26">
        <v>0.05</v>
      </c>
      <c r="F100" s="26">
        <v>0.01</v>
      </c>
      <c r="G100" s="26" t="s">
        <v>161</v>
      </c>
      <c r="H100" s="26" t="s">
        <v>25</v>
      </c>
      <c r="I100" s="26" t="s">
        <v>25</v>
      </c>
      <c r="J100" s="48"/>
      <c r="K100" s="48">
        <f t="shared" si="1"/>
        <v>0</v>
      </c>
      <c r="L100" s="33">
        <v>1</v>
      </c>
    </row>
    <row r="101" spans="1:12" ht="51.75" x14ac:dyDescent="0.25">
      <c r="A101" s="32" t="s">
        <v>114</v>
      </c>
      <c r="B101" s="26" t="s">
        <v>20</v>
      </c>
      <c r="C101" s="26">
        <v>16</v>
      </c>
      <c r="D101" s="26">
        <v>108</v>
      </c>
      <c r="E101" s="26">
        <v>2.5000000000000001E-3</v>
      </c>
      <c r="F101" s="26">
        <v>2.5000000000000001E-3</v>
      </c>
      <c r="G101" s="26" t="s">
        <v>115</v>
      </c>
      <c r="H101" s="26" t="s">
        <v>89</v>
      </c>
      <c r="I101" s="26"/>
      <c r="J101" s="48" t="s">
        <v>89</v>
      </c>
      <c r="K101" s="48">
        <f t="shared" si="1"/>
        <v>0</v>
      </c>
      <c r="L101" s="33">
        <v>1</v>
      </c>
    </row>
    <row r="102" spans="1:12" ht="64.5" x14ac:dyDescent="0.25">
      <c r="A102" s="32" t="s">
        <v>28</v>
      </c>
      <c r="B102" s="26" t="s">
        <v>29</v>
      </c>
      <c r="C102" s="26">
        <v>16</v>
      </c>
      <c r="D102" s="26">
        <v>165</v>
      </c>
      <c r="E102" s="26">
        <v>0.2</v>
      </c>
      <c r="F102" s="26">
        <v>0.2</v>
      </c>
      <c r="G102" s="26" t="s">
        <v>98</v>
      </c>
      <c r="H102" s="26" t="s">
        <v>30</v>
      </c>
      <c r="I102" s="26"/>
      <c r="J102" s="48"/>
      <c r="K102" s="48">
        <f t="shared" si="1"/>
        <v>1</v>
      </c>
      <c r="L102" s="33">
        <v>0</v>
      </c>
    </row>
    <row r="103" spans="1:12" ht="51.75" x14ac:dyDescent="0.25">
      <c r="A103" s="32" t="s">
        <v>116</v>
      </c>
      <c r="B103" s="26" t="s">
        <v>102</v>
      </c>
      <c r="C103" s="26">
        <v>16</v>
      </c>
      <c r="D103" s="26">
        <v>100</v>
      </c>
      <c r="E103" s="26">
        <v>2.5000000000000001E-2</v>
      </c>
      <c r="F103" s="26">
        <v>2.5000000000000001E-2</v>
      </c>
      <c r="G103" s="26" t="s">
        <v>118</v>
      </c>
      <c r="H103" s="26" t="s">
        <v>162</v>
      </c>
      <c r="I103" s="26"/>
      <c r="J103" s="48"/>
      <c r="K103" s="48">
        <f t="shared" si="1"/>
        <v>1</v>
      </c>
      <c r="L103" s="33">
        <v>0</v>
      </c>
    </row>
    <row r="104" spans="1:12" ht="26.25" x14ac:dyDescent="0.25">
      <c r="A104" s="32" t="s">
        <v>34</v>
      </c>
      <c r="B104" s="26" t="s">
        <v>35</v>
      </c>
      <c r="C104" s="26">
        <v>16</v>
      </c>
      <c r="D104" s="26">
        <v>250</v>
      </c>
      <c r="E104" s="26">
        <v>0.08</v>
      </c>
      <c r="F104" s="26">
        <v>0.04</v>
      </c>
      <c r="G104" s="26" t="s">
        <v>153</v>
      </c>
      <c r="H104" s="26" t="s">
        <v>25</v>
      </c>
      <c r="I104" s="26"/>
      <c r="J104" s="48" t="s">
        <v>25</v>
      </c>
      <c r="K104" s="48">
        <f t="shared" si="1"/>
        <v>0</v>
      </c>
      <c r="L104" s="33">
        <v>1</v>
      </c>
    </row>
    <row r="105" spans="1:12" ht="39" x14ac:dyDescent="0.25">
      <c r="A105" s="32" t="s">
        <v>37</v>
      </c>
      <c r="B105" s="26" t="s">
        <v>27</v>
      </c>
      <c r="C105" s="26">
        <v>16</v>
      </c>
      <c r="D105" s="26">
        <v>164</v>
      </c>
      <c r="E105" s="26">
        <v>1</v>
      </c>
      <c r="F105" s="26">
        <v>1</v>
      </c>
      <c r="G105" s="26" t="s">
        <v>118</v>
      </c>
      <c r="H105" s="26" t="s">
        <v>25</v>
      </c>
      <c r="I105" s="26"/>
      <c r="J105" s="48" t="s">
        <v>25</v>
      </c>
      <c r="K105" s="48">
        <f t="shared" si="1"/>
        <v>0</v>
      </c>
      <c r="L105" s="33">
        <v>0</v>
      </c>
    </row>
    <row r="106" spans="1:12" x14ac:dyDescent="0.25">
      <c r="A106" s="32" t="s">
        <v>121</v>
      </c>
      <c r="B106" s="26" t="s">
        <v>82</v>
      </c>
      <c r="C106" s="26">
        <v>16</v>
      </c>
      <c r="D106" s="26">
        <v>150</v>
      </c>
      <c r="E106" s="26">
        <v>7.0000000000000007E-2</v>
      </c>
      <c r="F106" s="26">
        <v>5.6000000000000001E-2</v>
      </c>
      <c r="G106" s="26" t="s">
        <v>144</v>
      </c>
      <c r="H106" s="26" t="s">
        <v>25</v>
      </c>
      <c r="I106" s="26"/>
      <c r="J106" s="48" t="s">
        <v>25</v>
      </c>
      <c r="K106" s="48">
        <f t="shared" si="1"/>
        <v>0</v>
      </c>
      <c r="L106" s="33">
        <v>1</v>
      </c>
    </row>
    <row r="107" spans="1:12" ht="26.25" x14ac:dyDescent="0.25">
      <c r="A107" s="32" t="s">
        <v>123</v>
      </c>
      <c r="B107" s="26" t="s">
        <v>124</v>
      </c>
      <c r="C107" s="26">
        <v>16</v>
      </c>
      <c r="D107" s="26">
        <v>240</v>
      </c>
      <c r="E107" s="26">
        <v>0.05</v>
      </c>
      <c r="F107" s="26">
        <v>0.05</v>
      </c>
      <c r="G107" s="26" t="s">
        <v>110</v>
      </c>
      <c r="H107" s="26" t="s">
        <v>25</v>
      </c>
      <c r="I107" s="26"/>
      <c r="J107" s="48"/>
      <c r="K107" s="48">
        <f t="shared" si="1"/>
        <v>1</v>
      </c>
      <c r="L107" s="33">
        <v>0</v>
      </c>
    </row>
    <row r="108" spans="1:12" ht="51.75" x14ac:dyDescent="0.25">
      <c r="A108" s="32" t="s">
        <v>41</v>
      </c>
      <c r="B108" s="26" t="s">
        <v>42</v>
      </c>
      <c r="C108" s="26">
        <v>16</v>
      </c>
      <c r="D108" s="26">
        <v>420</v>
      </c>
      <c r="E108" s="26">
        <v>0.1</v>
      </c>
      <c r="F108" s="26">
        <v>0.01</v>
      </c>
      <c r="G108" s="26" t="s">
        <v>152</v>
      </c>
      <c r="H108" s="26" t="s">
        <v>25</v>
      </c>
      <c r="I108" s="26"/>
      <c r="J108" s="48" t="s">
        <v>25</v>
      </c>
      <c r="K108" s="48">
        <f t="shared" si="1"/>
        <v>0</v>
      </c>
      <c r="L108" s="33">
        <v>1</v>
      </c>
    </row>
    <row r="109" spans="1:12" ht="51.75" x14ac:dyDescent="0.25">
      <c r="A109" s="32" t="s">
        <v>41</v>
      </c>
      <c r="B109" s="26" t="s">
        <v>42</v>
      </c>
      <c r="C109" s="26">
        <v>27</v>
      </c>
      <c r="D109" s="26">
        <v>420</v>
      </c>
      <c r="E109" s="26">
        <v>0.1</v>
      </c>
      <c r="F109" s="26">
        <v>0.01</v>
      </c>
      <c r="G109" s="26" t="s">
        <v>152</v>
      </c>
      <c r="H109" s="26" t="s">
        <v>25</v>
      </c>
      <c r="I109" s="26"/>
      <c r="J109" s="48" t="s">
        <v>25</v>
      </c>
      <c r="K109" s="48">
        <f t="shared" si="1"/>
        <v>0</v>
      </c>
      <c r="L109" s="33">
        <v>1</v>
      </c>
    </row>
    <row r="110" spans="1:12" ht="51.75" x14ac:dyDescent="0.25">
      <c r="A110" s="32" t="s">
        <v>125</v>
      </c>
      <c r="B110" s="26" t="s">
        <v>126</v>
      </c>
      <c r="C110" s="26">
        <v>27</v>
      </c>
      <c r="D110" s="26">
        <v>150</v>
      </c>
      <c r="E110" s="26">
        <v>3.0000000000000001E-3</v>
      </c>
      <c r="F110" s="26">
        <v>3.0000000000000001E-3</v>
      </c>
      <c r="G110" s="26" t="s">
        <v>118</v>
      </c>
      <c r="H110" s="26" t="s">
        <v>33</v>
      </c>
      <c r="I110" s="26" t="s">
        <v>25</v>
      </c>
      <c r="J110" s="48"/>
      <c r="K110" s="48">
        <f t="shared" si="1"/>
        <v>0</v>
      </c>
      <c r="L110" s="33">
        <v>0</v>
      </c>
    </row>
    <row r="111" spans="1:12" ht="26.25" x14ac:dyDescent="0.25">
      <c r="A111" s="32" t="s">
        <v>128</v>
      </c>
      <c r="B111" s="26" t="s">
        <v>129</v>
      </c>
      <c r="C111" s="26">
        <v>16</v>
      </c>
      <c r="D111" s="26">
        <v>190</v>
      </c>
      <c r="E111" s="26">
        <v>0.03</v>
      </c>
      <c r="F111" s="26">
        <v>0.03</v>
      </c>
      <c r="G111" s="26" t="s">
        <v>132</v>
      </c>
      <c r="H111" s="26" t="s">
        <v>25</v>
      </c>
      <c r="I111" s="26"/>
      <c r="J111" s="48"/>
      <c r="K111" s="48">
        <f t="shared" si="1"/>
        <v>1</v>
      </c>
      <c r="L111" s="33">
        <v>0</v>
      </c>
    </row>
    <row r="112" spans="1:12" ht="26.25" x14ac:dyDescent="0.25">
      <c r="A112" s="32" t="s">
        <v>52</v>
      </c>
      <c r="B112" s="26" t="s">
        <v>53</v>
      </c>
      <c r="C112" s="26">
        <v>16</v>
      </c>
      <c r="D112" s="26">
        <v>175</v>
      </c>
      <c r="E112" s="26">
        <v>0.18</v>
      </c>
      <c r="F112" s="26">
        <v>0.09</v>
      </c>
      <c r="G112" s="26" t="s">
        <v>118</v>
      </c>
      <c r="H112" s="26" t="s">
        <v>25</v>
      </c>
      <c r="I112" s="26" t="s">
        <v>25</v>
      </c>
      <c r="J112" s="48"/>
      <c r="K112" s="48">
        <f t="shared" si="1"/>
        <v>0</v>
      </c>
      <c r="L112" s="33">
        <v>1</v>
      </c>
    </row>
    <row r="113" spans="1:12" ht="26.25" x14ac:dyDescent="0.25">
      <c r="A113" s="32" t="s">
        <v>54</v>
      </c>
      <c r="B113" s="26" t="s">
        <v>55</v>
      </c>
      <c r="C113" s="26">
        <v>16</v>
      </c>
      <c r="D113" s="26">
        <v>120</v>
      </c>
      <c r="E113" s="26">
        <v>0.05</v>
      </c>
      <c r="F113" s="26">
        <v>0.03</v>
      </c>
      <c r="G113" s="26" t="s">
        <v>144</v>
      </c>
      <c r="H113" s="26" t="s">
        <v>25</v>
      </c>
      <c r="I113" s="26" t="s">
        <v>25</v>
      </c>
      <c r="J113" s="48"/>
      <c r="K113" s="48">
        <f t="shared" si="1"/>
        <v>0</v>
      </c>
      <c r="L113" s="33">
        <v>0</v>
      </c>
    </row>
    <row r="114" spans="1:12" ht="51.75" x14ac:dyDescent="0.25">
      <c r="A114" s="32" t="s">
        <v>163</v>
      </c>
      <c r="B114" s="26" t="s">
        <v>61</v>
      </c>
      <c r="C114" s="26">
        <v>16</v>
      </c>
      <c r="D114" s="26">
        <v>120</v>
      </c>
      <c r="E114" s="26">
        <v>0.1</v>
      </c>
      <c r="F114" s="26">
        <v>0.1</v>
      </c>
      <c r="G114" s="26" t="s">
        <v>132</v>
      </c>
      <c r="H114" s="26" t="s">
        <v>33</v>
      </c>
      <c r="I114" s="26"/>
      <c r="J114" s="48"/>
      <c r="K114" s="48">
        <f t="shared" si="1"/>
        <v>1</v>
      </c>
      <c r="L114" s="33">
        <v>0</v>
      </c>
    </row>
    <row r="115" spans="1:12" ht="26.25" x14ac:dyDescent="0.25">
      <c r="A115" s="32" t="s">
        <v>66</v>
      </c>
      <c r="B115" s="26" t="s">
        <v>17</v>
      </c>
      <c r="C115" s="26">
        <v>16</v>
      </c>
      <c r="D115" s="26">
        <v>160</v>
      </c>
      <c r="E115" s="26">
        <v>3.1E-2</v>
      </c>
      <c r="F115" s="26">
        <v>2.7E-2</v>
      </c>
      <c r="G115" s="26" t="s">
        <v>118</v>
      </c>
      <c r="H115" s="26" t="s">
        <v>25</v>
      </c>
      <c r="I115" s="26" t="s">
        <v>25</v>
      </c>
      <c r="J115" s="48"/>
      <c r="K115" s="48">
        <f t="shared" si="1"/>
        <v>0</v>
      </c>
      <c r="L115" s="33">
        <v>0</v>
      </c>
    </row>
    <row r="116" spans="1:12" ht="39" x14ac:dyDescent="0.25">
      <c r="A116" s="32" t="s">
        <v>67</v>
      </c>
      <c r="B116" s="26" t="s">
        <v>17</v>
      </c>
      <c r="C116" s="26">
        <v>16</v>
      </c>
      <c r="D116" s="28">
        <v>1000</v>
      </c>
      <c r="E116" s="26">
        <v>0.05</v>
      </c>
      <c r="F116" s="26">
        <v>0.01</v>
      </c>
      <c r="G116" s="26" t="s">
        <v>133</v>
      </c>
      <c r="H116" s="26" t="s">
        <v>94</v>
      </c>
      <c r="I116" s="26"/>
      <c r="J116" s="48" t="s">
        <v>25</v>
      </c>
      <c r="K116" s="48">
        <f t="shared" si="1"/>
        <v>0</v>
      </c>
      <c r="L116" s="33">
        <v>0</v>
      </c>
    </row>
    <row r="117" spans="1:12" ht="39" x14ac:dyDescent="0.25">
      <c r="A117" s="32" t="s">
        <v>67</v>
      </c>
      <c r="B117" s="26" t="s">
        <v>17</v>
      </c>
      <c r="C117" s="26">
        <v>27</v>
      </c>
      <c r="D117" s="28">
        <v>1000</v>
      </c>
      <c r="E117" s="26">
        <v>0.05</v>
      </c>
      <c r="F117" s="26">
        <v>0.01</v>
      </c>
      <c r="G117" s="26" t="s">
        <v>133</v>
      </c>
      <c r="H117" s="26" t="s">
        <v>94</v>
      </c>
      <c r="I117" s="26"/>
      <c r="J117" s="48" t="s">
        <v>25</v>
      </c>
      <c r="K117" s="48">
        <f t="shared" si="1"/>
        <v>0</v>
      </c>
      <c r="L117" s="33">
        <v>0</v>
      </c>
    </row>
    <row r="118" spans="1:12" ht="39" x14ac:dyDescent="0.25">
      <c r="A118" s="32" t="s">
        <v>69</v>
      </c>
      <c r="B118" s="26" t="s">
        <v>20</v>
      </c>
      <c r="C118" s="26">
        <v>16</v>
      </c>
      <c r="D118" s="26">
        <v>400</v>
      </c>
      <c r="E118" s="26">
        <v>1</v>
      </c>
      <c r="F118" s="26">
        <v>1</v>
      </c>
      <c r="G118" s="26" t="s">
        <v>164</v>
      </c>
      <c r="H118" s="26" t="s">
        <v>94</v>
      </c>
      <c r="I118" s="26"/>
      <c r="J118" s="48" t="s">
        <v>94</v>
      </c>
      <c r="K118" s="48">
        <f t="shared" si="1"/>
        <v>0</v>
      </c>
      <c r="L118" s="33">
        <v>1</v>
      </c>
    </row>
    <row r="119" spans="1:12" ht="26.25" x14ac:dyDescent="0.25">
      <c r="A119" s="32" t="s">
        <v>147</v>
      </c>
      <c r="B119" s="26" t="s">
        <v>20</v>
      </c>
      <c r="C119" s="26">
        <v>16</v>
      </c>
      <c r="D119" s="26">
        <v>400</v>
      </c>
      <c r="E119" s="26">
        <v>0.05</v>
      </c>
      <c r="F119" s="26">
        <v>0.05</v>
      </c>
      <c r="G119" s="26" t="s">
        <v>132</v>
      </c>
      <c r="H119" s="26" t="s">
        <v>40</v>
      </c>
      <c r="I119" s="26"/>
      <c r="J119" s="48" t="s">
        <v>25</v>
      </c>
      <c r="K119" s="48">
        <f t="shared" si="1"/>
        <v>0</v>
      </c>
      <c r="L119" s="33">
        <v>1</v>
      </c>
    </row>
    <row r="120" spans="1:12" ht="26.25" x14ac:dyDescent="0.25">
      <c r="A120" s="32" t="s">
        <v>147</v>
      </c>
      <c r="B120" s="26" t="s">
        <v>20</v>
      </c>
      <c r="C120" s="26">
        <v>27</v>
      </c>
      <c r="D120" s="26">
        <v>400</v>
      </c>
      <c r="E120" s="26">
        <v>0.05</v>
      </c>
      <c r="F120" s="26">
        <v>0.05</v>
      </c>
      <c r="G120" s="26" t="s">
        <v>132</v>
      </c>
      <c r="H120" s="26" t="s">
        <v>40</v>
      </c>
      <c r="I120" s="26"/>
      <c r="J120" s="48" t="s">
        <v>25</v>
      </c>
      <c r="K120" s="48">
        <f t="shared" si="1"/>
        <v>0</v>
      </c>
      <c r="L120" s="33">
        <v>1</v>
      </c>
    </row>
    <row r="121" spans="1:12" ht="26.25" x14ac:dyDescent="0.25">
      <c r="A121" s="32" t="s">
        <v>135</v>
      </c>
      <c r="B121" s="26" t="s">
        <v>136</v>
      </c>
      <c r="C121" s="26">
        <v>20</v>
      </c>
      <c r="D121" s="26">
        <v>500</v>
      </c>
      <c r="E121" s="26">
        <v>5.0000000000000001E-3</v>
      </c>
      <c r="F121" s="26">
        <v>3.0000000000000001E-3</v>
      </c>
      <c r="G121" s="26" t="s">
        <v>112</v>
      </c>
      <c r="H121" s="26" t="s">
        <v>30</v>
      </c>
      <c r="I121" s="26" t="s">
        <v>30</v>
      </c>
      <c r="J121" s="48"/>
      <c r="K121" s="48">
        <f t="shared" si="1"/>
        <v>0</v>
      </c>
      <c r="L121" s="33">
        <v>0</v>
      </c>
    </row>
    <row r="122" spans="1:12" ht="77.25" x14ac:dyDescent="0.25">
      <c r="A122" s="32" t="s">
        <v>149</v>
      </c>
      <c r="B122" s="26" t="s">
        <v>20</v>
      </c>
      <c r="C122" s="26">
        <v>16</v>
      </c>
      <c r="D122" s="28">
        <v>1600</v>
      </c>
      <c r="E122" s="26">
        <v>2.1000000000000001E-2</v>
      </c>
      <c r="F122" s="26">
        <v>2.1000000000000001E-2</v>
      </c>
      <c r="G122" s="26" t="s">
        <v>165</v>
      </c>
      <c r="H122" s="26" t="s">
        <v>150</v>
      </c>
      <c r="I122" s="26" t="s">
        <v>25</v>
      </c>
      <c r="J122" s="48" t="s">
        <v>189</v>
      </c>
      <c r="K122" s="48">
        <f t="shared" si="1"/>
        <v>0</v>
      </c>
      <c r="L122" s="33">
        <v>1</v>
      </c>
    </row>
    <row r="123" spans="1:12" ht="39" x14ac:dyDescent="0.25">
      <c r="A123" s="32" t="s">
        <v>137</v>
      </c>
      <c r="B123" s="26" t="s">
        <v>138</v>
      </c>
      <c r="C123" s="26">
        <v>16</v>
      </c>
      <c r="D123" s="26">
        <v>322</v>
      </c>
      <c r="E123" s="26">
        <v>8.9999999999999993E-3</v>
      </c>
      <c r="F123" s="26">
        <v>4.0000000000000001E-3</v>
      </c>
      <c r="G123" s="26" t="s">
        <v>132</v>
      </c>
      <c r="H123" s="26" t="s">
        <v>94</v>
      </c>
      <c r="I123" s="26" t="s">
        <v>25</v>
      </c>
      <c r="J123" s="48" t="s">
        <v>186</v>
      </c>
      <c r="K123" s="48">
        <f t="shared" si="1"/>
        <v>0</v>
      </c>
      <c r="L123" s="33">
        <v>0</v>
      </c>
    </row>
    <row r="124" spans="1:12" ht="51.75" x14ac:dyDescent="0.25">
      <c r="A124" s="32" t="s">
        <v>157</v>
      </c>
      <c r="B124" s="26" t="s">
        <v>20</v>
      </c>
      <c r="C124" s="26">
        <v>27</v>
      </c>
      <c r="D124" s="26">
        <v>180</v>
      </c>
      <c r="E124" s="26">
        <v>8.0000000000000002E-3</v>
      </c>
      <c r="F124" s="26">
        <v>8.0000000000000002E-3</v>
      </c>
      <c r="G124" s="26" t="s">
        <v>158</v>
      </c>
      <c r="H124" s="26" t="s">
        <v>94</v>
      </c>
      <c r="I124" s="26"/>
      <c r="J124" s="48"/>
      <c r="K124" s="48">
        <f t="shared" si="1"/>
        <v>1</v>
      </c>
      <c r="L124" s="33">
        <v>1</v>
      </c>
    </row>
    <row r="125" spans="1:12" ht="39" x14ac:dyDescent="0.25">
      <c r="A125" s="32" t="s">
        <v>81</v>
      </c>
      <c r="B125" s="26" t="s">
        <v>82</v>
      </c>
      <c r="C125" s="26">
        <v>16</v>
      </c>
      <c r="D125" s="26">
        <v>200</v>
      </c>
      <c r="E125" s="26">
        <v>8.0000000000000002E-3</v>
      </c>
      <c r="F125" s="26">
        <v>8.0000000000000002E-3</v>
      </c>
      <c r="G125" s="26" t="s">
        <v>166</v>
      </c>
      <c r="H125" s="26" t="s">
        <v>83</v>
      </c>
      <c r="I125" s="26" t="s">
        <v>15</v>
      </c>
      <c r="J125" s="48"/>
      <c r="K125" s="48">
        <f t="shared" si="1"/>
        <v>0</v>
      </c>
      <c r="L125" s="33">
        <v>0</v>
      </c>
    </row>
    <row r="126" spans="1:12" ht="39" x14ac:dyDescent="0.25">
      <c r="A126" s="32" t="s">
        <v>84</v>
      </c>
      <c r="B126" s="26" t="s">
        <v>85</v>
      </c>
      <c r="C126" s="26">
        <v>16</v>
      </c>
      <c r="D126" s="28">
        <v>1000</v>
      </c>
      <c r="E126" s="26">
        <v>0.1</v>
      </c>
      <c r="F126" s="26">
        <v>0.05</v>
      </c>
      <c r="G126" s="26" t="s">
        <v>110</v>
      </c>
      <c r="H126" s="26" t="s">
        <v>94</v>
      </c>
      <c r="I126" s="26" t="s">
        <v>25</v>
      </c>
      <c r="J126" s="48" t="s">
        <v>186</v>
      </c>
      <c r="K126" s="48">
        <f t="shared" si="1"/>
        <v>0</v>
      </c>
      <c r="L126" s="33">
        <v>0</v>
      </c>
    </row>
    <row r="127" spans="1:12" ht="39" x14ac:dyDescent="0.25">
      <c r="A127" s="32" t="s">
        <v>84</v>
      </c>
      <c r="B127" s="26" t="s">
        <v>85</v>
      </c>
      <c r="C127" s="26">
        <v>27</v>
      </c>
      <c r="D127" s="28">
        <v>1000</v>
      </c>
      <c r="E127" s="26">
        <v>0.1</v>
      </c>
      <c r="F127" s="26">
        <v>0.05</v>
      </c>
      <c r="G127" s="26" t="s">
        <v>110</v>
      </c>
      <c r="H127" s="26" t="s">
        <v>94</v>
      </c>
      <c r="I127" s="26" t="s">
        <v>25</v>
      </c>
      <c r="J127" s="48" t="s">
        <v>186</v>
      </c>
      <c r="K127" s="48">
        <f t="shared" si="1"/>
        <v>0</v>
      </c>
      <c r="L127" s="33">
        <v>0</v>
      </c>
    </row>
    <row r="128" spans="1:12" ht="26.25" x14ac:dyDescent="0.25">
      <c r="A128" s="32" t="s">
        <v>86</v>
      </c>
      <c r="B128" s="26" t="s">
        <v>20</v>
      </c>
      <c r="C128" s="26">
        <v>16</v>
      </c>
      <c r="D128" s="26">
        <v>300</v>
      </c>
      <c r="E128" s="26">
        <v>0.1</v>
      </c>
      <c r="F128" s="26">
        <v>0.05</v>
      </c>
      <c r="G128" s="26" t="s">
        <v>141</v>
      </c>
      <c r="H128" s="26" t="s">
        <v>25</v>
      </c>
      <c r="I128" s="26" t="s">
        <v>25</v>
      </c>
      <c r="J128" s="48"/>
      <c r="K128" s="48">
        <f t="shared" si="1"/>
        <v>0</v>
      </c>
      <c r="L128" s="33">
        <v>1</v>
      </c>
    </row>
    <row r="129" spans="1:12" ht="39.75" thickBot="1" x14ac:dyDescent="0.3">
      <c r="A129" s="35" t="s">
        <v>88</v>
      </c>
      <c r="B129" s="36" t="s">
        <v>20</v>
      </c>
      <c r="C129" s="36">
        <v>16</v>
      </c>
      <c r="D129" s="36">
        <v>100</v>
      </c>
      <c r="E129" s="36">
        <v>2.1000000000000001E-2</v>
      </c>
      <c r="F129" s="36">
        <v>7.0000000000000001E-3</v>
      </c>
      <c r="G129" s="36" t="s">
        <v>118</v>
      </c>
      <c r="H129" s="36" t="s">
        <v>94</v>
      </c>
      <c r="I129" s="36" t="s">
        <v>40</v>
      </c>
      <c r="J129" s="49"/>
      <c r="K129" s="48">
        <f t="shared" si="1"/>
        <v>0</v>
      </c>
      <c r="L129" s="37">
        <v>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BEDF7-72E1-4C0E-8ED3-B205376C41F9}">
  <dimension ref="A1:K39"/>
  <sheetViews>
    <sheetView tabSelected="1" topLeftCell="A20" workbookViewId="0">
      <selection activeCell="H7" sqref="H7"/>
    </sheetView>
  </sheetViews>
  <sheetFormatPr defaultColWidth="8.85546875" defaultRowHeight="15" customHeight="1" x14ac:dyDescent="0.25"/>
  <cols>
    <col min="1" max="1" width="15" bestFit="1" customWidth="1"/>
    <col min="2" max="2" width="15" customWidth="1"/>
    <col min="3" max="3" width="11.28515625" bestFit="1" customWidth="1"/>
    <col min="4" max="4" width="10.42578125" bestFit="1" customWidth="1"/>
    <col min="5" max="5" width="19.28515625" bestFit="1" customWidth="1"/>
    <col min="6" max="6" width="17.28515625" bestFit="1" customWidth="1"/>
    <col min="7" max="8" width="16.7109375" bestFit="1" customWidth="1"/>
    <col min="9" max="9" width="7.140625" bestFit="1" customWidth="1"/>
    <col min="10" max="10" width="12.28515625" bestFit="1" customWidth="1"/>
    <col min="11" max="11" width="11.28515625" bestFit="1" customWidth="1"/>
  </cols>
  <sheetData>
    <row r="1" spans="1:11" ht="60" x14ac:dyDescent="0.25">
      <c r="A1" s="38" t="s">
        <v>95</v>
      </c>
      <c r="B1" s="38" t="s">
        <v>1</v>
      </c>
      <c r="C1" s="39" t="s">
        <v>4</v>
      </c>
      <c r="D1" s="39" t="s">
        <v>96</v>
      </c>
      <c r="E1" s="39" t="s">
        <v>7</v>
      </c>
      <c r="F1" s="39" t="s">
        <v>192</v>
      </c>
      <c r="G1" s="44" t="s">
        <v>193</v>
      </c>
      <c r="H1" s="44" t="s">
        <v>120</v>
      </c>
      <c r="I1" s="44" t="s">
        <v>8</v>
      </c>
      <c r="J1" s="46" t="s">
        <v>5</v>
      </c>
      <c r="K1" s="46" t="s">
        <v>6</v>
      </c>
    </row>
    <row r="2" spans="1:11" ht="30" x14ac:dyDescent="0.25">
      <c r="A2" s="38" t="s">
        <v>9</v>
      </c>
      <c r="B2" s="38" t="s">
        <v>9</v>
      </c>
      <c r="C2" s="39" t="s">
        <v>10</v>
      </c>
      <c r="D2" s="39" t="s">
        <v>11</v>
      </c>
      <c r="E2" s="39" t="s">
        <v>11</v>
      </c>
      <c r="F2" s="39" t="s">
        <v>11</v>
      </c>
      <c r="G2" s="44" t="s">
        <v>11</v>
      </c>
      <c r="H2" s="44" t="s">
        <v>11</v>
      </c>
      <c r="I2" s="44" t="s">
        <v>12</v>
      </c>
      <c r="J2" s="46" t="s">
        <v>10</v>
      </c>
      <c r="K2" s="46" t="s">
        <v>10</v>
      </c>
    </row>
    <row r="3" spans="1:11" ht="26.25" x14ac:dyDescent="0.25">
      <c r="A3" s="40" t="s">
        <v>13</v>
      </c>
      <c r="B3" s="40" t="s">
        <v>14</v>
      </c>
      <c r="C3" s="41">
        <v>1000</v>
      </c>
      <c r="D3" s="40" t="s">
        <v>167</v>
      </c>
      <c r="E3" s="40" t="s">
        <v>15</v>
      </c>
      <c r="F3" s="40" t="s">
        <v>25</v>
      </c>
      <c r="G3" s="45"/>
      <c r="H3" s="45" t="s">
        <v>21</v>
      </c>
      <c r="I3" s="45">
        <v>1</v>
      </c>
      <c r="J3" s="50">
        <v>3.0000000000000001E-3</v>
      </c>
      <c r="K3" s="50">
        <v>3.0000000000000001E-3</v>
      </c>
    </row>
    <row r="4" spans="1:11" ht="39" x14ac:dyDescent="0.25">
      <c r="A4" s="40" t="s">
        <v>198</v>
      </c>
      <c r="B4" s="40" t="s">
        <v>20</v>
      </c>
      <c r="C4" s="41">
        <v>2200</v>
      </c>
      <c r="D4" s="40" t="s">
        <v>168</v>
      </c>
      <c r="E4" s="40" t="s">
        <v>25</v>
      </c>
      <c r="F4" s="40" t="s">
        <v>25</v>
      </c>
      <c r="G4" s="45"/>
      <c r="H4" s="45"/>
      <c r="I4" s="45">
        <v>1</v>
      </c>
      <c r="J4" s="50">
        <v>0.3</v>
      </c>
      <c r="K4" s="50">
        <v>0.3</v>
      </c>
    </row>
    <row r="5" spans="1:11" x14ac:dyDescent="0.25">
      <c r="A5" s="40" t="s">
        <v>199</v>
      </c>
      <c r="B5" s="40" t="s">
        <v>20</v>
      </c>
      <c r="C5" s="41">
        <v>4000</v>
      </c>
      <c r="D5" s="40" t="s">
        <v>118</v>
      </c>
      <c r="E5" s="40" t="s">
        <v>15</v>
      </c>
      <c r="F5" s="40" t="s">
        <v>25</v>
      </c>
      <c r="G5" s="45"/>
      <c r="H5" s="45"/>
      <c r="I5" s="45">
        <v>1</v>
      </c>
      <c r="J5" s="50">
        <v>5.0000000000000001E-3</v>
      </c>
      <c r="K5" s="50">
        <v>2.5000000000000001E-3</v>
      </c>
    </row>
    <row r="6" spans="1:11" ht="26.25" x14ac:dyDescent="0.25">
      <c r="A6" s="40" t="s">
        <v>142</v>
      </c>
      <c r="B6" s="40" t="s">
        <v>61</v>
      </c>
      <c r="C6" s="40">
        <v>400</v>
      </c>
      <c r="D6" s="40" t="s">
        <v>159</v>
      </c>
      <c r="E6" s="40" t="s">
        <v>68</v>
      </c>
      <c r="F6" s="40"/>
      <c r="G6" s="45" t="s">
        <v>25</v>
      </c>
      <c r="H6" s="45" t="s">
        <v>194</v>
      </c>
      <c r="I6" s="45">
        <v>1</v>
      </c>
      <c r="J6" s="50">
        <v>0.01</v>
      </c>
      <c r="K6" s="50">
        <v>8.0000000000000002E-3</v>
      </c>
    </row>
    <row r="7" spans="1:11" ht="39" x14ac:dyDescent="0.25">
      <c r="A7" s="40" t="s">
        <v>16</v>
      </c>
      <c r="B7" s="40" t="s">
        <v>17</v>
      </c>
      <c r="C7" s="41">
        <v>1250</v>
      </c>
      <c r="D7" s="40" t="s">
        <v>143</v>
      </c>
      <c r="E7" s="40" t="s">
        <v>51</v>
      </c>
      <c r="F7" s="40"/>
      <c r="G7" s="45" t="s">
        <v>51</v>
      </c>
      <c r="H7" s="45"/>
      <c r="I7" s="45">
        <v>0</v>
      </c>
      <c r="J7" s="50">
        <v>0.01</v>
      </c>
      <c r="K7" s="50">
        <v>0.01</v>
      </c>
    </row>
    <row r="8" spans="1:11" ht="51.75" x14ac:dyDescent="0.25">
      <c r="A8" s="40" t="s">
        <v>19</v>
      </c>
      <c r="B8" s="40" t="s">
        <v>20</v>
      </c>
      <c r="C8" s="41">
        <v>2500</v>
      </c>
      <c r="D8" s="40" t="s">
        <v>169</v>
      </c>
      <c r="E8" s="40" t="s">
        <v>170</v>
      </c>
      <c r="F8" s="40" t="s">
        <v>21</v>
      </c>
      <c r="G8" s="45"/>
      <c r="H8" s="45"/>
      <c r="I8" s="45">
        <v>1</v>
      </c>
      <c r="J8" s="50">
        <v>0.1</v>
      </c>
      <c r="K8" s="50">
        <v>0.01</v>
      </c>
    </row>
    <row r="9" spans="1:11" ht="39" x14ac:dyDescent="0.25">
      <c r="A9" s="51" t="s">
        <v>22</v>
      </c>
      <c r="B9" s="40" t="s">
        <v>20</v>
      </c>
      <c r="C9" s="52">
        <v>2000</v>
      </c>
      <c r="D9" s="51" t="s">
        <v>161</v>
      </c>
      <c r="E9" s="40" t="s">
        <v>89</v>
      </c>
      <c r="F9" s="51" t="s">
        <v>25</v>
      </c>
      <c r="G9" s="45"/>
      <c r="H9" s="45"/>
      <c r="I9" s="53">
        <v>1</v>
      </c>
      <c r="J9" s="54">
        <v>0.05</v>
      </c>
      <c r="K9" s="54">
        <v>0.01</v>
      </c>
    </row>
    <row r="10" spans="1:11" x14ac:dyDescent="0.25">
      <c r="A10" s="40" t="s">
        <v>200</v>
      </c>
      <c r="B10" s="40" t="s">
        <v>20</v>
      </c>
      <c r="C10" s="41">
        <v>3530</v>
      </c>
      <c r="D10" s="40" t="s">
        <v>172</v>
      </c>
      <c r="E10" s="40" t="s">
        <v>15</v>
      </c>
      <c r="F10" s="40"/>
      <c r="G10" s="45"/>
      <c r="H10" s="45"/>
      <c r="I10" s="45">
        <v>1</v>
      </c>
      <c r="J10" s="50">
        <v>0.05</v>
      </c>
      <c r="K10" s="50">
        <v>2.5000000000000001E-2</v>
      </c>
    </row>
    <row r="11" spans="1:11" ht="26.25" x14ac:dyDescent="0.25">
      <c r="A11" s="51" t="s">
        <v>201</v>
      </c>
      <c r="B11" s="40" t="s">
        <v>20</v>
      </c>
      <c r="C11" s="52">
        <v>2500</v>
      </c>
      <c r="D11" s="51" t="s">
        <v>173</v>
      </c>
      <c r="E11" s="51" t="s">
        <v>68</v>
      </c>
      <c r="F11" s="40" t="s">
        <v>25</v>
      </c>
      <c r="G11" s="45" t="s">
        <v>171</v>
      </c>
      <c r="H11" s="45"/>
      <c r="I11" s="53">
        <v>1</v>
      </c>
      <c r="J11" s="54">
        <v>7.0000000000000001E-3</v>
      </c>
      <c r="K11" s="54">
        <v>6.0000000000000001E-3</v>
      </c>
    </row>
    <row r="12" spans="1:11" ht="26.25" x14ac:dyDescent="0.25">
      <c r="A12" s="40" t="s">
        <v>26</v>
      </c>
      <c r="B12" s="40" t="s">
        <v>27</v>
      </c>
      <c r="C12" s="41">
        <v>2500</v>
      </c>
      <c r="D12" s="40" t="s">
        <v>144</v>
      </c>
      <c r="E12" s="40" t="s">
        <v>25</v>
      </c>
      <c r="F12" s="40" t="s">
        <v>25</v>
      </c>
      <c r="G12" s="45"/>
      <c r="H12" s="45"/>
      <c r="I12" s="45">
        <v>1</v>
      </c>
      <c r="J12" s="50">
        <v>1.7000000000000001E-2</v>
      </c>
      <c r="K12" s="50">
        <v>1.7000000000000001E-2</v>
      </c>
    </row>
    <row r="13" spans="1:11" ht="26.25" x14ac:dyDescent="0.25">
      <c r="A13" s="40" t="s">
        <v>114</v>
      </c>
      <c r="B13" s="40" t="s">
        <v>20</v>
      </c>
      <c r="C13" s="41">
        <v>1082</v>
      </c>
      <c r="D13" s="40" t="s">
        <v>115</v>
      </c>
      <c r="E13" s="40" t="s">
        <v>89</v>
      </c>
      <c r="F13" s="40" t="s">
        <v>15</v>
      </c>
      <c r="G13" s="45" t="s">
        <v>171</v>
      </c>
      <c r="H13" s="45"/>
      <c r="I13" s="45">
        <v>1</v>
      </c>
      <c r="J13" s="50">
        <v>2.5000000000000001E-3</v>
      </c>
      <c r="K13" s="50">
        <v>2.5000000000000001E-3</v>
      </c>
    </row>
    <row r="14" spans="1:11" ht="26.25" x14ac:dyDescent="0.25">
      <c r="A14" s="42" t="s">
        <v>202</v>
      </c>
      <c r="B14" s="42" t="s">
        <v>20</v>
      </c>
      <c r="C14" s="41">
        <v>4500</v>
      </c>
      <c r="D14" s="40" t="s">
        <v>174</v>
      </c>
      <c r="E14" s="40" t="s">
        <v>25</v>
      </c>
      <c r="F14" s="40"/>
      <c r="G14" s="45"/>
      <c r="H14" s="45"/>
      <c r="I14" s="45">
        <v>1</v>
      </c>
      <c r="J14" s="50">
        <v>0.1</v>
      </c>
      <c r="K14" s="50">
        <v>0.01</v>
      </c>
    </row>
    <row r="15" spans="1:11" ht="26.25" x14ac:dyDescent="0.25">
      <c r="A15" s="42" t="s">
        <v>31</v>
      </c>
      <c r="B15" s="42" t="s">
        <v>32</v>
      </c>
      <c r="C15" s="40">
        <v>150</v>
      </c>
      <c r="D15" s="40" t="s">
        <v>175</v>
      </c>
      <c r="E15" s="40" t="s">
        <v>51</v>
      </c>
      <c r="F15" s="40" t="s">
        <v>25</v>
      </c>
      <c r="G15" s="45"/>
      <c r="H15" s="45"/>
      <c r="I15" s="45">
        <v>0</v>
      </c>
      <c r="J15" s="50">
        <v>1.4999999999999999E-2</v>
      </c>
      <c r="K15" s="50">
        <v>1.4999999999999999E-2</v>
      </c>
    </row>
    <row r="16" spans="1:11" x14ac:dyDescent="0.25">
      <c r="A16" s="40" t="s">
        <v>116</v>
      </c>
      <c r="B16" s="40" t="s">
        <v>102</v>
      </c>
      <c r="C16" s="40">
        <v>300</v>
      </c>
      <c r="D16" s="40" t="s">
        <v>176</v>
      </c>
      <c r="E16" s="40" t="s">
        <v>25</v>
      </c>
      <c r="F16" s="40"/>
      <c r="G16" s="45"/>
      <c r="H16" s="45"/>
      <c r="I16" s="45">
        <v>0</v>
      </c>
      <c r="J16" s="50">
        <v>5.0000000000000001E-3</v>
      </c>
      <c r="K16" s="50">
        <v>5.0000000000000001E-3</v>
      </c>
    </row>
    <row r="17" spans="1:11" ht="26.25" x14ac:dyDescent="0.25">
      <c r="A17" s="40" t="s">
        <v>34</v>
      </c>
      <c r="B17" s="40" t="s">
        <v>35</v>
      </c>
      <c r="C17" s="40">
        <v>300</v>
      </c>
      <c r="D17" s="40" t="s">
        <v>159</v>
      </c>
      <c r="E17" s="40" t="s">
        <v>25</v>
      </c>
      <c r="F17" s="40"/>
      <c r="G17" s="45" t="s">
        <v>25</v>
      </c>
      <c r="H17" s="45"/>
      <c r="I17" s="45">
        <v>1</v>
      </c>
      <c r="J17" s="50">
        <v>0.1</v>
      </c>
      <c r="K17" s="50">
        <v>8</v>
      </c>
    </row>
    <row r="18" spans="1:11" ht="26.25" x14ac:dyDescent="0.25">
      <c r="A18" s="40" t="s">
        <v>34</v>
      </c>
      <c r="B18" s="40" t="s">
        <v>35</v>
      </c>
      <c r="C18" s="40">
        <v>3500</v>
      </c>
      <c r="D18" s="40" t="s">
        <v>159</v>
      </c>
      <c r="E18" s="40" t="s">
        <v>25</v>
      </c>
      <c r="F18" s="40"/>
      <c r="G18" s="45"/>
      <c r="H18" s="45"/>
      <c r="I18" s="45">
        <v>1</v>
      </c>
      <c r="J18" s="50">
        <v>0.1</v>
      </c>
      <c r="K18" s="50">
        <v>8</v>
      </c>
    </row>
    <row r="19" spans="1:11" ht="26.25" x14ac:dyDescent="0.25">
      <c r="A19" s="40" t="s">
        <v>36</v>
      </c>
      <c r="B19" s="40" t="s">
        <v>20</v>
      </c>
      <c r="C19" s="40">
        <v>450</v>
      </c>
      <c r="D19" s="40" t="s">
        <v>144</v>
      </c>
      <c r="E19" s="40" t="s">
        <v>25</v>
      </c>
      <c r="F19" s="40"/>
      <c r="G19" s="45" t="s">
        <v>25</v>
      </c>
      <c r="H19" s="45"/>
      <c r="I19" s="45">
        <v>1</v>
      </c>
      <c r="J19" s="50">
        <v>0.03</v>
      </c>
      <c r="K19" s="50">
        <v>0.02</v>
      </c>
    </row>
    <row r="20" spans="1:11" ht="26.25" x14ac:dyDescent="0.25">
      <c r="A20" s="40" t="s">
        <v>41</v>
      </c>
      <c r="B20" s="40" t="s">
        <v>42</v>
      </c>
      <c r="C20" s="41">
        <v>2100</v>
      </c>
      <c r="D20" s="40" t="s">
        <v>168</v>
      </c>
      <c r="E20" s="40" t="s">
        <v>25</v>
      </c>
      <c r="F20" s="40"/>
      <c r="G20" s="45" t="s">
        <v>25</v>
      </c>
      <c r="H20" s="45"/>
      <c r="I20" s="45">
        <v>1</v>
      </c>
      <c r="J20" s="50">
        <v>0.35</v>
      </c>
      <c r="K20" s="50">
        <v>0.35</v>
      </c>
    </row>
    <row r="21" spans="1:11" x14ac:dyDescent="0.25">
      <c r="A21" s="40" t="s">
        <v>44</v>
      </c>
      <c r="B21" s="40" t="s">
        <v>45</v>
      </c>
      <c r="C21" s="40">
        <v>1000</v>
      </c>
      <c r="D21" s="40" t="s">
        <v>144</v>
      </c>
      <c r="E21" s="40" t="s">
        <v>177</v>
      </c>
      <c r="F21" s="40" t="s">
        <v>25</v>
      </c>
      <c r="G21" s="45" t="s">
        <v>195</v>
      </c>
      <c r="H21" s="45"/>
      <c r="I21" s="45">
        <v>0</v>
      </c>
      <c r="J21" s="50">
        <v>0.03</v>
      </c>
      <c r="K21" s="50">
        <v>0.01</v>
      </c>
    </row>
    <row r="22" spans="1:11" x14ac:dyDescent="0.25">
      <c r="A22" s="40" t="s">
        <v>203</v>
      </c>
      <c r="B22" s="40" t="s">
        <v>20</v>
      </c>
      <c r="C22" s="41">
        <v>2000</v>
      </c>
      <c r="D22" s="40" t="s">
        <v>118</v>
      </c>
      <c r="E22" s="40" t="s">
        <v>25</v>
      </c>
      <c r="F22" s="40" t="s">
        <v>25</v>
      </c>
      <c r="G22" s="45"/>
      <c r="H22" s="45"/>
      <c r="I22" s="45">
        <v>1</v>
      </c>
      <c r="J22" s="50">
        <v>1.2999999999999999E-2</v>
      </c>
      <c r="K22" s="50">
        <v>8.9999999999999993E-3</v>
      </c>
    </row>
    <row r="23" spans="1:11" ht="26.25" x14ac:dyDescent="0.25">
      <c r="A23" s="40" t="s">
        <v>204</v>
      </c>
      <c r="B23" s="40" t="s">
        <v>20</v>
      </c>
      <c r="C23" s="40">
        <v>500</v>
      </c>
      <c r="D23" s="40" t="s">
        <v>158</v>
      </c>
      <c r="E23" s="40" t="s">
        <v>178</v>
      </c>
      <c r="F23" s="40" t="s">
        <v>25</v>
      </c>
      <c r="G23" s="45" t="s">
        <v>196</v>
      </c>
      <c r="H23" s="45"/>
      <c r="I23" s="45">
        <v>1</v>
      </c>
      <c r="J23" s="50">
        <v>0.1</v>
      </c>
      <c r="K23" s="50">
        <v>0.1</v>
      </c>
    </row>
    <row r="24" spans="1:11" x14ac:dyDescent="0.25">
      <c r="A24" s="40" t="s">
        <v>49</v>
      </c>
      <c r="B24" s="40" t="s">
        <v>20</v>
      </c>
      <c r="C24" s="40">
        <v>1000</v>
      </c>
      <c r="D24" s="40" t="s">
        <v>179</v>
      </c>
      <c r="E24" s="40" t="s">
        <v>25</v>
      </c>
      <c r="F24" s="40" t="s">
        <v>25</v>
      </c>
      <c r="G24" s="45"/>
      <c r="H24" s="45"/>
      <c r="I24" s="45">
        <v>1</v>
      </c>
      <c r="J24" s="50">
        <v>3.5000000000000003E-2</v>
      </c>
      <c r="K24" s="50">
        <v>0.03</v>
      </c>
    </row>
    <row r="25" spans="1:11" ht="26.25" x14ac:dyDescent="0.25">
      <c r="A25" s="40" t="s">
        <v>205</v>
      </c>
      <c r="B25" s="40" t="s">
        <v>138</v>
      </c>
      <c r="C25" s="40">
        <v>200</v>
      </c>
      <c r="D25" s="40" t="s">
        <v>144</v>
      </c>
      <c r="E25" s="40" t="s">
        <v>25</v>
      </c>
      <c r="F25" s="40" t="s">
        <v>25</v>
      </c>
      <c r="G25" s="45"/>
      <c r="H25" s="45"/>
      <c r="I25" s="45">
        <v>0</v>
      </c>
      <c r="J25" s="50">
        <v>0.01</v>
      </c>
      <c r="K25" s="50">
        <v>0.01</v>
      </c>
    </row>
    <row r="26" spans="1:11" ht="26.25" x14ac:dyDescent="0.25">
      <c r="A26" s="40" t="s">
        <v>206</v>
      </c>
      <c r="B26" s="40" t="s">
        <v>20</v>
      </c>
      <c r="C26" s="40">
        <v>918</v>
      </c>
      <c r="D26" s="40" t="s">
        <v>180</v>
      </c>
      <c r="E26" s="40" t="s">
        <v>181</v>
      </c>
      <c r="F26" s="40"/>
      <c r="G26" s="45"/>
      <c r="H26" s="45"/>
      <c r="I26" s="45">
        <v>1</v>
      </c>
      <c r="J26" s="50">
        <v>1.4999999999999999E-2</v>
      </c>
      <c r="K26" s="50">
        <v>1.4999999999999999E-2</v>
      </c>
    </row>
    <row r="27" spans="1:11" ht="26.25" x14ac:dyDescent="0.25">
      <c r="A27" s="42" t="s">
        <v>207</v>
      </c>
      <c r="B27" s="42" t="s">
        <v>20</v>
      </c>
      <c r="C27" s="41">
        <v>2000</v>
      </c>
      <c r="D27" s="40" t="s">
        <v>167</v>
      </c>
      <c r="E27" s="40" t="s">
        <v>15</v>
      </c>
      <c r="F27" s="40" t="s">
        <v>25</v>
      </c>
      <c r="G27" s="45"/>
      <c r="H27" s="45" t="s">
        <v>21</v>
      </c>
      <c r="I27" s="45">
        <v>1</v>
      </c>
      <c r="J27" s="50">
        <v>0.05</v>
      </c>
      <c r="K27" s="50">
        <v>3.3000000000000002E-2</v>
      </c>
    </row>
    <row r="28" spans="1:11" ht="26.25" x14ac:dyDescent="0.25">
      <c r="A28" s="40" t="s">
        <v>50</v>
      </c>
      <c r="B28" s="40" t="s">
        <v>20</v>
      </c>
      <c r="C28" s="41">
        <v>3000</v>
      </c>
      <c r="D28" s="40" t="s">
        <v>167</v>
      </c>
      <c r="E28" s="40" t="s">
        <v>51</v>
      </c>
      <c r="F28" s="40" t="s">
        <v>25</v>
      </c>
      <c r="G28" s="45"/>
      <c r="H28" s="45"/>
      <c r="I28" s="45">
        <v>1</v>
      </c>
      <c r="J28" s="50">
        <v>8.0000000000000002E-3</v>
      </c>
      <c r="K28" s="50">
        <v>8.0000000000000002E-3</v>
      </c>
    </row>
    <row r="29" spans="1:11" x14ac:dyDescent="0.25">
      <c r="A29" s="40" t="s">
        <v>208</v>
      </c>
      <c r="B29" s="40" t="s">
        <v>20</v>
      </c>
      <c r="C29" s="41">
        <v>3000</v>
      </c>
      <c r="D29" s="40" t="s">
        <v>158</v>
      </c>
      <c r="E29" s="40" t="s">
        <v>25</v>
      </c>
      <c r="F29" s="40" t="s">
        <v>25</v>
      </c>
      <c r="G29" s="45"/>
      <c r="H29" s="45"/>
      <c r="I29" s="45">
        <v>1</v>
      </c>
      <c r="J29" s="50">
        <v>1.2E-2</v>
      </c>
      <c r="K29" s="50">
        <v>0.03</v>
      </c>
    </row>
    <row r="30" spans="1:11" x14ac:dyDescent="0.25">
      <c r="A30" s="40" t="s">
        <v>52</v>
      </c>
      <c r="B30" s="40" t="s">
        <v>53</v>
      </c>
      <c r="C30" s="40">
        <v>660</v>
      </c>
      <c r="D30" s="40" t="s">
        <v>118</v>
      </c>
      <c r="E30" s="40" t="s">
        <v>25</v>
      </c>
      <c r="F30" s="40" t="s">
        <v>25</v>
      </c>
      <c r="G30" s="45"/>
      <c r="H30" s="45"/>
      <c r="I30" s="45">
        <v>1</v>
      </c>
      <c r="J30" s="50">
        <v>0.24</v>
      </c>
      <c r="K30" s="50">
        <v>0.09</v>
      </c>
    </row>
    <row r="31" spans="1:11" ht="26.25" x14ac:dyDescent="0.25">
      <c r="A31" s="40" t="s">
        <v>57</v>
      </c>
      <c r="B31" s="40" t="s">
        <v>20</v>
      </c>
      <c r="C31" s="40">
        <v>400</v>
      </c>
      <c r="D31" s="40" t="s">
        <v>158</v>
      </c>
      <c r="E31" s="40" t="s">
        <v>182</v>
      </c>
      <c r="F31" s="40" t="s">
        <v>182</v>
      </c>
      <c r="G31" s="45"/>
      <c r="H31" s="45"/>
      <c r="I31" s="45">
        <v>1</v>
      </c>
      <c r="J31" s="50">
        <v>0.01</v>
      </c>
      <c r="K31" s="50">
        <v>8.0000000000000002E-3</v>
      </c>
    </row>
    <row r="32" spans="1:11" ht="39" x14ac:dyDescent="0.25">
      <c r="A32" s="40" t="s">
        <v>58</v>
      </c>
      <c r="B32" s="40" t="s">
        <v>20</v>
      </c>
      <c r="C32" s="40">
        <v>5000</v>
      </c>
      <c r="D32" s="40" t="s">
        <v>210</v>
      </c>
      <c r="E32" s="40" t="s">
        <v>183</v>
      </c>
      <c r="F32" s="40" t="s">
        <v>197</v>
      </c>
      <c r="G32" s="45"/>
      <c r="H32" s="45"/>
      <c r="I32" s="45">
        <v>1</v>
      </c>
      <c r="J32" s="50">
        <v>2E-3</v>
      </c>
      <c r="K32" s="50">
        <v>4.0000000000000002E-4</v>
      </c>
    </row>
    <row r="33" spans="1:11" x14ac:dyDescent="0.25">
      <c r="A33" s="40" t="s">
        <v>62</v>
      </c>
      <c r="B33" s="40" t="s">
        <v>63</v>
      </c>
      <c r="C33" s="40">
        <v>834</v>
      </c>
      <c r="D33" s="40" t="s">
        <v>144</v>
      </c>
      <c r="E33" s="40" t="s">
        <v>25</v>
      </c>
      <c r="F33" s="40"/>
      <c r="G33" s="45" t="s">
        <v>25</v>
      </c>
      <c r="H33" s="45"/>
      <c r="I33" s="45">
        <v>0</v>
      </c>
      <c r="J33" s="50">
        <v>2.1999999999999999E-2</v>
      </c>
      <c r="K33" s="50">
        <v>0.01</v>
      </c>
    </row>
    <row r="34" spans="1:11" x14ac:dyDescent="0.25">
      <c r="A34" s="40" t="s">
        <v>64</v>
      </c>
      <c r="B34" s="40" t="s">
        <v>65</v>
      </c>
      <c r="C34" s="41">
        <v>1500</v>
      </c>
      <c r="D34" s="40" t="s">
        <v>179</v>
      </c>
      <c r="E34" s="40" t="s">
        <v>30</v>
      </c>
      <c r="F34" s="40" t="s">
        <v>25</v>
      </c>
      <c r="G34" s="45"/>
      <c r="H34" s="45"/>
      <c r="I34" s="45">
        <v>0</v>
      </c>
      <c r="J34" s="50">
        <v>8.0000000000000002E-3</v>
      </c>
      <c r="K34" s="50">
        <v>8.0000000000000002E-3</v>
      </c>
    </row>
    <row r="35" spans="1:11" x14ac:dyDescent="0.25">
      <c r="A35" s="40" t="s">
        <v>66</v>
      </c>
      <c r="B35" s="40" t="s">
        <v>17</v>
      </c>
      <c r="C35" s="41">
        <v>2200</v>
      </c>
      <c r="D35" s="40" t="s">
        <v>144</v>
      </c>
      <c r="E35" s="40" t="s">
        <v>25</v>
      </c>
      <c r="F35" s="40"/>
      <c r="G35" s="45"/>
      <c r="H35" s="45"/>
      <c r="I35" s="45">
        <v>0</v>
      </c>
      <c r="J35" s="50">
        <v>3.3000000000000002E-2</v>
      </c>
      <c r="K35" s="50">
        <v>0.03</v>
      </c>
    </row>
    <row r="36" spans="1:11" ht="26.25" x14ac:dyDescent="0.25">
      <c r="A36" s="40" t="s">
        <v>67</v>
      </c>
      <c r="B36" s="40" t="s">
        <v>17</v>
      </c>
      <c r="C36" s="41">
        <v>5000</v>
      </c>
      <c r="D36" s="40" t="s">
        <v>133</v>
      </c>
      <c r="E36" s="40" t="s">
        <v>68</v>
      </c>
      <c r="F36" s="40"/>
      <c r="G36" s="45" t="s">
        <v>25</v>
      </c>
      <c r="H36" s="45"/>
      <c r="I36" s="45">
        <v>0</v>
      </c>
      <c r="J36" s="50">
        <v>0.05</v>
      </c>
      <c r="K36" s="50">
        <v>0.01</v>
      </c>
    </row>
    <row r="37" spans="1:11" ht="26.25" x14ac:dyDescent="0.25">
      <c r="A37" s="40" t="s">
        <v>71</v>
      </c>
      <c r="B37" s="40" t="s">
        <v>20</v>
      </c>
      <c r="C37" s="41">
        <v>1000</v>
      </c>
      <c r="D37" s="40" t="s">
        <v>158</v>
      </c>
      <c r="E37" s="40" t="s">
        <v>72</v>
      </c>
      <c r="F37" s="40"/>
      <c r="G37" s="45"/>
      <c r="H37" s="45"/>
      <c r="I37" s="45">
        <v>1</v>
      </c>
      <c r="J37" s="50">
        <v>6.0000000000000001E-3</v>
      </c>
      <c r="K37" s="50">
        <v>6.0000000000000001E-3</v>
      </c>
    </row>
    <row r="38" spans="1:11" ht="28.5" x14ac:dyDescent="0.25">
      <c r="A38" s="40" t="s">
        <v>209</v>
      </c>
      <c r="B38" s="40" t="s">
        <v>27</v>
      </c>
      <c r="C38" s="40">
        <v>300</v>
      </c>
      <c r="D38" s="43" t="s">
        <v>184</v>
      </c>
      <c r="E38" s="40" t="s">
        <v>25</v>
      </c>
      <c r="F38" s="40"/>
      <c r="G38" s="45"/>
      <c r="H38" s="45"/>
      <c r="I38" s="45">
        <v>0</v>
      </c>
      <c r="J38" s="50">
        <v>0.01</v>
      </c>
      <c r="K38" s="50">
        <v>0.01</v>
      </c>
    </row>
    <row r="39" spans="1:11" x14ac:dyDescent="0.25">
      <c r="A39" s="40" t="s">
        <v>73</v>
      </c>
      <c r="B39" s="40" t="s">
        <v>20</v>
      </c>
      <c r="C39" s="40">
        <v>600</v>
      </c>
      <c r="D39" s="40" t="s">
        <v>185</v>
      </c>
      <c r="E39" s="40" t="s">
        <v>25</v>
      </c>
      <c r="F39" s="40"/>
      <c r="G39" s="45" t="s">
        <v>25</v>
      </c>
      <c r="H39" s="45"/>
      <c r="I39" s="45">
        <v>1</v>
      </c>
      <c r="J39" s="50">
        <v>5.0000000000000001E-3</v>
      </c>
      <c r="K39" s="50">
        <v>1.6999999999999999E-3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hosted_payloads</vt:lpstr>
      <vt:lpstr>pocketqubes</vt:lpstr>
      <vt:lpstr>cubesats</vt:lpstr>
      <vt:lpstr>espa_class_satellites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Aiden Powell</cp:lastModifiedBy>
  <cp:revision/>
  <dcterms:created xsi:type="dcterms:W3CDTF">2025-06-16T19:15:25Z</dcterms:created>
  <dcterms:modified xsi:type="dcterms:W3CDTF">2025-08-04T23:13:16Z</dcterms:modified>
  <cp:category/>
  <cp:contentStatus/>
</cp:coreProperties>
</file>