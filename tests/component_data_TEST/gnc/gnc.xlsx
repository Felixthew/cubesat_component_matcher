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watt_f_northeastern_edu/Documents/data/gnc/"/>
    </mc:Choice>
  </mc:AlternateContent>
  <xr:revisionPtr revIDLastSave="220" documentId="13_ncr:1_{45AABDBB-5264-E24C-8A8F-B74206D30A02}" xr6:coauthVersionLast="47" xr6:coauthVersionMax="47" xr10:uidLastSave="{C6C5F07D-4ACF-4DCB-84A4-C54E86FCF4CB}"/>
  <bookViews>
    <workbookView xWindow="-120" yWindow="-120" windowWidth="29040" windowHeight="15840" xr2:uid="{00000000-000D-0000-FFFF-FFFF00000000}"/>
  </bookViews>
  <sheets>
    <sheet name="integrated_systems" sheetId="1" r:id="rId1"/>
    <sheet name="star_trackers" sheetId="2" r:id="rId2"/>
    <sheet name="three-axis_magnetometers" sheetId="3" r:id="rId3"/>
    <sheet name="sun_sensors" sheetId="4" r:id="rId4"/>
    <sheet name="gyros" sheetId="5" r:id="rId5"/>
    <sheet name="atomic_clocks" sheetId="6" r:id="rId6"/>
    <sheet name="reaction_wheels" sheetId="7" r:id="rId7"/>
    <sheet name="magnetic_torquers" sheetId="8" r:id="rId8"/>
    <sheet name="horizon_sensors" sheetId="9" r:id="rId9"/>
    <sheet name="gps_recievers" sheetId="10" r:id="rId10"/>
    <sheet name="deep_space" sheetId="11" r:id="rId11"/>
    <sheet name="lidar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" l="1"/>
</calcChain>
</file>

<file path=xl/sharedStrings.xml><?xml version="1.0" encoding="utf-8"?>
<sst xmlns="http://schemas.openxmlformats.org/spreadsheetml/2006/main" count="809" uniqueCount="394">
  <si>
    <t>Manufacturer</t>
  </si>
  <si>
    <t>Model</t>
  </si>
  <si>
    <t>Mass (kg)</t>
  </si>
  <si>
    <t>Sensor Technologies</t>
  </si>
  <si>
    <t>Processor</t>
  </si>
  <si>
    <t>Pointing Accuracy (deg)</t>
  </si>
  <si>
    <t># of Reaction Wheels</t>
  </si>
  <si>
    <t xml:space="preserve"> # of Magnetorquers</t>
  </si>
  <si>
    <t>string</t>
  </si>
  <si>
    <t>number</t>
  </si>
  <si>
    <t>list</t>
  </si>
  <si>
    <t>boolean</t>
  </si>
  <si>
    <t>AAC Clyde Space</t>
  </si>
  <si>
    <t>iADCS-200</t>
  </si>
  <si>
    <t>star tracker, IMU, magnetometer, sun sensor</t>
  </si>
  <si>
    <t>iADCS-400</t>
  </si>
  <si>
    <t>Arcsec</t>
  </si>
  <si>
    <t>Arcus ADC</t>
  </si>
  <si>
    <t>star tracker, gyro, photodiode, magnetometer</t>
  </si>
  <si>
    <t>Berlin Space Technologies</t>
  </si>
  <si>
    <t>IADCS-100</t>
  </si>
  <si>
    <t>star tracker, gyro, magnetometer, accelerometer</t>
  </si>
  <si>
    <t>Blue Canyon Technologies</t>
  </si>
  <si>
    <t>Flexcore</t>
  </si>
  <si>
    <t>star trackers, magnetometer</t>
  </si>
  <si>
    <t>XACT-100</t>
  </si>
  <si>
    <t>star tracker, magnetometer</t>
  </si>
  <si>
    <t>XACT-15</t>
  </si>
  <si>
    <t>XACT-50</t>
  </si>
  <si>
    <t>CubeSpace Satellite Systems</t>
  </si>
  <si>
    <t>CubeADCS</t>
  </si>
  <si>
    <t>sun sensor, horizon sensor, star tracker, magnetometer</t>
  </si>
  <si>
    <t>Power (W)</t>
  </si>
  <si>
    <t>FOV (°, x/y)</t>
  </si>
  <si>
    <t>3σ Cross Axis Accuracy (in.)</t>
  </si>
  <si>
    <t>3σ Twist Accuracy (in.)</t>
  </si>
  <si>
    <t>Radiation Tolerance (krad)</t>
  </si>
  <si>
    <t>tuple</t>
  </si>
  <si>
    <t>Sagitta</t>
  </si>
  <si>
    <t>25.4, 25.4</t>
  </si>
  <si>
    <t>Twinkle</t>
  </si>
  <si>
    <t>10.4, 10.4</t>
  </si>
  <si>
    <t>BAE Systems Inc, Space and Mission Systems</t>
  </si>
  <si>
    <t>CT-2020</t>
  </si>
  <si>
    <t>Berlin Space Technologies / AAC Clyde Space</t>
  </si>
  <si>
    <t>ST200</t>
  </si>
  <si>
    <t>22, 22</t>
  </si>
  <si>
    <t>ST400</t>
  </si>
  <si>
    <t>15, 15</t>
  </si>
  <si>
    <t>Standard NST</t>
  </si>
  <si>
    <t>10, 12</t>
  </si>
  <si>
    <t>Extended NST</t>
  </si>
  <si>
    <t>Creare</t>
  </si>
  <si>
    <t>UST</t>
  </si>
  <si>
    <t>CubeStar</t>
  </si>
  <si>
    <t>59.4, 59.4</t>
  </si>
  <si>
    <t>Danish Technical University</t>
  </si>
  <si>
    <t>MicroASC</t>
  </si>
  <si>
    <t>Jena-Optronik</t>
  </si>
  <si>
    <t>ASTRO CL</t>
  </si>
  <si>
    <t>25, 25</t>
  </si>
  <si>
    <t>ASTRO APS</t>
  </si>
  <si>
    <t>20, 20</t>
  </si>
  <si>
    <t>ASTRO APS3</t>
  </si>
  <si>
    <t>Leonardo</t>
  </si>
  <si>
    <t>Spacestar</t>
  </si>
  <si>
    <t>NanoAvionics</t>
  </si>
  <si>
    <t>ST-1</t>
  </si>
  <si>
    <t>21, 21</t>
  </si>
  <si>
    <t>Redwire Space</t>
  </si>
  <si>
    <t>Star Tracker</t>
  </si>
  <si>
    <t>14, 19</t>
  </si>
  <si>
    <t>Rocket Lab</t>
  </si>
  <si>
    <t>ST-16RT2</t>
  </si>
  <si>
    <t>8, 8</t>
  </si>
  <si>
    <t>Sodern</t>
  </si>
  <si>
    <t>Auriga-CP</t>
  </si>
  <si>
    <t>30, 30</t>
  </si>
  <si>
    <t>Hydra-M</t>
  </si>
  <si>
    <t>Hydra-TC</t>
  </si>
  <si>
    <t>23, 6</t>
  </si>
  <si>
    <t>Solar MEMS Technologies</t>
  </si>
  <si>
    <t>STNS</t>
  </si>
  <si>
    <t>12, 12</t>
  </si>
  <si>
    <t>Space Micro</t>
  </si>
  <si>
    <t>MIST</t>
  </si>
  <si>
    <t>14.5, 14.5</t>
  </si>
  <si>
    <t>µSTAR-100M</t>
  </si>
  <si>
    <t>µSTAR-200M</t>
  </si>
  <si>
    <t>µSTAR-200H</t>
  </si>
  <si>
    <t>µSTAR-400M</t>
  </si>
  <si>
    <t>Terma</t>
  </si>
  <si>
    <t>T1</t>
  </si>
  <si>
    <t>T3</t>
  </si>
  <si>
    <t>Vectronic Aerospace</t>
  </si>
  <si>
    <t>VST-41MN</t>
  </si>
  <si>
    <t>14, 14</t>
  </si>
  <si>
    <t>VST-68M</t>
  </si>
  <si>
    <t>Resolution (nT)</t>
  </si>
  <si>
    <t>Orthogonality (°)</t>
  </si>
  <si>
    <t>Rad Tolerance (krad)</t>
  </si>
  <si>
    <t>MM200</t>
  </si>
  <si>
    <t>MAG-3</t>
  </si>
  <si>
    <t>CubeMag Deployable</t>
  </si>
  <si>
    <t>CubeMag Compact</t>
  </si>
  <si>
    <t>GomSpace</t>
  </si>
  <si>
    <t>NanoSense M315</t>
  </si>
  <si>
    <t>NewSpace Systems</t>
  </si>
  <si>
    <t>NMRM-Bn25o485</t>
  </si>
  <si>
    <t>MEISEI</t>
  </si>
  <si>
    <t>3-Axis Magnetometer for Small Satellite</t>
  </si>
  <si>
    <t>ZARM Technik</t>
  </si>
  <si>
    <t>Analogue High-Rel Fluxgate Magnetometer FGM-A-75</t>
  </si>
  <si>
    <t>Digital AMR Magnetometer</t>
  </si>
  <si>
    <t>AMR-D-100-EFRS485</t>
  </si>
  <si>
    <t>Sensor Type</t>
  </si>
  <si>
    <t>Peak Power (W)</t>
  </si>
  <si>
    <t>FOV (°)</t>
  </si>
  <si>
    <t># Measurement Angles</t>
  </si>
  <si>
    <t>TRL</t>
  </si>
  <si>
    <t>Digital</t>
  </si>
  <si>
    <t>3σ Accuracy (deg)</t>
  </si>
  <si>
    <t>SS200</t>
  </si>
  <si>
    <t>FSSA-110</t>
  </si>
  <si>
    <t>Fine</t>
  </si>
  <si>
    <t>Bradford Space</t>
  </si>
  <si>
    <t>CoSS</t>
  </si>
  <si>
    <t>Cosine</t>
  </si>
  <si>
    <t>CoSS-R</t>
  </si>
  <si>
    <t>CSS</t>
  </si>
  <si>
    <t>FSS</t>
  </si>
  <si>
    <t>Quadrant</t>
  </si>
  <si>
    <t>Mini-FSS</t>
  </si>
  <si>
    <t>CubeSense</t>
  </si>
  <si>
    <t>Camera</t>
  </si>
  <si>
    <t>NanoSense FSS</t>
  </si>
  <si>
    <t>Lens R&amp;D</t>
  </si>
  <si>
    <t>BiSon64-ET</t>
  </si>
  <si>
    <t>BiSon64-ET-B</t>
  </si>
  <si>
    <t>MAUS</t>
  </si>
  <si>
    <t>Needronix</t>
  </si>
  <si>
    <t>Eagle</t>
  </si>
  <si>
    <t>Eagle Plus</t>
  </si>
  <si>
    <t>Eagle Point</t>
  </si>
  <si>
    <t>Fine Pointing</t>
  </si>
  <si>
    <t>Swan</t>
  </si>
  <si>
    <t>Pyramid</t>
  </si>
  <si>
    <t>NFSS-411</t>
  </si>
  <si>
    <t>NCSS-SA05</t>
  </si>
  <si>
    <t>Coarse Analog Sun Sensor</t>
  </si>
  <si>
    <t>Coarse</t>
  </si>
  <si>
    <t>Coarse Sun Sensor (Cosine Type)</t>
  </si>
  <si>
    <t>Coarse Sun Sensor Pyramid</t>
  </si>
  <si>
    <t>Digital Sun Sensor (32°)</t>
  </si>
  <si>
    <t>Digital Sun Sensor (64°)</t>
  </si>
  <si>
    <t>Fine Pointing Sun Sensor</t>
  </si>
  <si>
    <t>Fine Spinning Sun Sensor (64°)</t>
  </si>
  <si>
    <t>Spinning</t>
  </si>
  <si>
    <t>Micro Sun Sensor</t>
  </si>
  <si>
    <t>Miniature Spinning Sun Sensor (87.5°)</t>
  </si>
  <si>
    <t>Fine Sun Sensor (50°)</t>
  </si>
  <si>
    <t>nanoSSOC-A60</t>
  </si>
  <si>
    <t>Orthogonal</t>
  </si>
  <si>
    <t>nanoSSOC-D60</t>
  </si>
  <si>
    <t>SSOC-A60</t>
  </si>
  <si>
    <t>SSOC-D60</t>
  </si>
  <si>
    <t>ACSS</t>
  </si>
  <si>
    <t>CSS-01, CSS-02</t>
  </si>
  <si>
    <t>MSS-01</t>
  </si>
  <si>
    <t>Technology</t>
  </si>
  <si>
    <t xml:space="preserve"> Power (W)</t>
  </si>
  <si>
    <t>Gyros # Axes</t>
  </si>
  <si>
    <t>Gyros Bias Stability (°/hr)</t>
  </si>
  <si>
    <t>Gyros ARW (°/rt(hr))</t>
  </si>
  <si>
    <t>Accelerometers # Axes</t>
  </si>
  <si>
    <t>Accelerometers Bias Stability  (µg)</t>
  </si>
  <si>
    <t>Accelerometers VRW (m/sec)/rt(hr)</t>
  </si>
  <si>
    <t>Emcore</t>
  </si>
  <si>
    <t>QRS11</t>
  </si>
  <si>
    <t>Gyro</t>
  </si>
  <si>
    <t>MEMS</t>
  </si>
  <si>
    <t>QRS28</t>
  </si>
  <si>
    <t>Honeywell</t>
  </si>
  <si>
    <t>MIMU</t>
  </si>
  <si>
    <t>IMU</t>
  </si>
  <si>
    <t>RLG</t>
  </si>
  <si>
    <t>HG1700</t>
  </si>
  <si>
    <t>HG4934SRS</t>
  </si>
  <si>
    <t>IRU</t>
  </si>
  <si>
    <t>(PN: 68904934-BA60)</t>
  </si>
  <si>
    <t>L3</t>
  </si>
  <si>
    <t>CIRUS</t>
  </si>
  <si>
    <t>FOG</t>
  </si>
  <si>
    <t>NSGY-001</t>
  </si>
  <si>
    <t>Image-based</t>
  </si>
  <si>
    <t>Northrop Grumman</t>
  </si>
  <si>
    <t>LN-200S</t>
  </si>
  <si>
    <t>FOG, SiAc</t>
  </si>
  <si>
    <t>NovAtel</t>
  </si>
  <si>
    <t>OEM-IMU-STIM300</t>
  </si>
  <si>
    <t>Safran</t>
  </si>
  <si>
    <t>STIM202</t>
  </si>
  <si>
    <t>STIM210</t>
  </si>
  <si>
    <t>STIM300</t>
  </si>
  <si>
    <t>STIM318</t>
  </si>
  <si>
    <t>STIM320</t>
  </si>
  <si>
    <t>STIM277H</t>
  </si>
  <si>
    <t>STIM377H</t>
  </si>
  <si>
    <t>Silicon Sensing Systems</t>
  </si>
  <si>
    <t>RPU30</t>
  </si>
  <si>
    <t>DMU41</t>
  </si>
  <si>
    <t>VectorNav</t>
  </si>
  <si>
    <t>VN-100*</t>
  </si>
  <si>
    <t>VN-110*</t>
  </si>
  <si>
    <t>CRH03-010</t>
  </si>
  <si>
    <t>CRH03-010 (OEM)</t>
  </si>
  <si>
    <t>CRH03-025</t>
  </si>
  <si>
    <t>CRH03-025 (OEM)</t>
  </si>
  <si>
    <t>CRH03-100</t>
  </si>
  <si>
    <t>CRH03-100 (OEM)</t>
  </si>
  <si>
    <t>CRH03-200</t>
  </si>
  <si>
    <t>CRH03-200 (OEM)</t>
  </si>
  <si>
    <t>CRH03-400</t>
  </si>
  <si>
    <t>CRH03-400 (OEM)</t>
  </si>
  <si>
    <t>CAS2X1S</t>
  </si>
  <si>
    <t>Acc</t>
  </si>
  <si>
    <t>CAS2X2S</t>
  </si>
  <si>
    <t>CAS2X3S</t>
  </si>
  <si>
    <t>CAS2X4S</t>
  </si>
  <si>
    <t>CAS2X5S</t>
  </si>
  <si>
    <t>Dimensions (mm)</t>
  </si>
  <si>
    <t>Frequency Range (MHz)</t>
  </si>
  <si>
    <t>AccuBeat</t>
  </si>
  <si>
    <t>Ultra Stable Oscillator</t>
  </si>
  <si>
    <t>131, 120, 105</t>
  </si>
  <si>
    <t>Bliley Technologies</t>
  </si>
  <si>
    <t>Iris Series 1"x1" OCXO for LEO</t>
  </si>
  <si>
    <t>19 ,11, 19</t>
  </si>
  <si>
    <t>Aether Series TCVCXO for LEO</t>
  </si>
  <si>
    <t>21, 14, 8</t>
  </si>
  <si>
    <t>Microsemi</t>
  </si>
  <si>
    <t>Space Chip Scale Atomic Clock (CSAC)</t>
  </si>
  <si>
    <t>41, 36, 12</t>
  </si>
  <si>
    <t>Safran Timing Technologies SA</t>
  </si>
  <si>
    <t>MO</t>
  </si>
  <si>
    <t>44, 54, 57</t>
  </si>
  <si>
    <t>Space Qualified mRO-50</t>
  </si>
  <si>
    <t>51, 51 ,20 </t>
  </si>
  <si>
    <t>miniRAFS</t>
  </si>
  <si>
    <t>108, 53, 68</t>
  </si>
  <si>
    <t>LNMO</t>
  </si>
  <si>
    <t>50, 50, 30</t>
  </si>
  <si>
    <t>Peak Torque (Nm)</t>
  </si>
  <si>
    <t>Momentum Capacity (Nms)</t>
  </si>
  <si>
    <t># Wheels</t>
  </si>
  <si>
    <t>RW210</t>
  </si>
  <si>
    <t>RW400</t>
  </si>
  <si>
    <t>Trillian-1</t>
  </si>
  <si>
    <t>Astrofein</t>
  </si>
  <si>
    <t>RW1 Type A</t>
  </si>
  <si>
    <t>RW1 Type B</t>
  </si>
  <si>
    <t>RW25</t>
  </si>
  <si>
    <t>RW35</t>
  </si>
  <si>
    <t>RW90</t>
  </si>
  <si>
    <t>RW100</t>
  </si>
  <si>
    <t>RW150</t>
  </si>
  <si>
    <t>RWT150</t>
  </si>
  <si>
    <t>RW250</t>
  </si>
  <si>
    <t>RWT250</t>
  </si>
  <si>
    <t>RWA05</t>
  </si>
  <si>
    <t>RWP015</t>
  </si>
  <si>
    <t>RWP050</t>
  </si>
  <si>
    <t>RWP100</t>
  </si>
  <si>
    <t>RWP500</t>
  </si>
  <si>
    <t>RW1</t>
  </si>
  <si>
    <t>RW4</t>
  </si>
  <si>
    <t>RW8</t>
  </si>
  <si>
    <t>Comat</t>
  </si>
  <si>
    <t>RW20</t>
  </si>
  <si>
    <t>RW40</t>
  </si>
  <si>
    <t>RW60</t>
  </si>
  <si>
    <t>CubeWheel CW0017</t>
  </si>
  <si>
    <t>CubeWheel CW0057</t>
  </si>
  <si>
    <t>CubeWheel CW0162</t>
  </si>
  <si>
    <t>CubeWheel CW0500</t>
  </si>
  <si>
    <t>CubeWheel CW1200</t>
  </si>
  <si>
    <t>CubeWheel CW2500</t>
  </si>
  <si>
    <t>CubeWheel CW5000</t>
  </si>
  <si>
    <t>CubeWheel CW10K</t>
  </si>
  <si>
    <t>CubeWheel CW40K</t>
  </si>
  <si>
    <t xml:space="preserve">GomSpace </t>
  </si>
  <si>
    <t>NanoTorque GSW-600</t>
  </si>
  <si>
    <t>RWO</t>
  </si>
  <si>
    <t>4RWO</t>
  </si>
  <si>
    <t>NRWA-T6</t>
  </si>
  <si>
    <t>NRWA-T065</t>
  </si>
  <si>
    <t>NRWA-T2</t>
  </si>
  <si>
    <t>RW-0.03</t>
  </si>
  <si>
    <t>RW-0.003</t>
  </si>
  <si>
    <t>RW-0.01</t>
  </si>
  <si>
    <t>RW3-0.06</t>
  </si>
  <si>
    <t>RW4-0.2</t>
  </si>
  <si>
    <t>RW4-0.4</t>
  </si>
  <si>
    <t>RW4-1.0</t>
  </si>
  <si>
    <t>VRW-A-1</t>
  </si>
  <si>
    <t>VRW-B-2</t>
  </si>
  <si>
    <t>VRW-C-1</t>
  </si>
  <si>
    <t>VRW-D-2</t>
  </si>
  <si>
    <t>VRW-D-6</t>
  </si>
  <si>
    <t>VEOWARE</t>
  </si>
  <si>
    <t>WHL-100</t>
  </si>
  <si>
    <t>WHL-200</t>
  </si>
  <si>
    <t>WHL-500</t>
  </si>
  <si>
    <t>Peak Dipole(A m^2)</t>
  </si>
  <si>
    <t># Axes</t>
  </si>
  <si>
    <t>MTQ800</t>
  </si>
  <si>
    <t>CubeSpace</t>
  </si>
  <si>
    <t>CubeTorquer CR0002</t>
  </si>
  <si>
    <t>Satellite Systems</t>
  </si>
  <si>
    <t>CubeTorquer CR0003</t>
  </si>
  <si>
    <t>CubeTorquer CR0004</t>
  </si>
  <si>
    <t>CubeTorquer CR0006</t>
  </si>
  <si>
    <t>CubeTorquer CR0008</t>
  </si>
  <si>
    <t>CubeTorquer CR0010</t>
  </si>
  <si>
    <t>CubeTorquer CR0012</t>
  </si>
  <si>
    <t>CubeTorquer CR0020</t>
  </si>
  <si>
    <t>Nano Torque GST-600</t>
  </si>
  <si>
    <t>NanoTorque Z-axis Internal</t>
  </si>
  <si>
    <t>ISISPACE</t>
  </si>
  <si>
    <t>Magnetorquer Board</t>
  </si>
  <si>
    <t>Magnetic Torque Actuator for Spacecraft</t>
  </si>
  <si>
    <t>MTQ3X</t>
  </si>
  <si>
    <t>MTQ MP42</t>
  </si>
  <si>
    <t>NCTR-M003</t>
  </si>
  <si>
    <t>NCTR-M012</t>
  </si>
  <si>
    <t>NCTR-M016</t>
  </si>
  <si>
    <t>TQ-40</t>
  </si>
  <si>
    <t>TQ-15</t>
  </si>
  <si>
    <t>MT0.2-1</t>
  </si>
  <si>
    <t>MT0.5-1</t>
  </si>
  <si>
    <t>MT0.7-1-01</t>
  </si>
  <si>
    <t>MT1-1-01</t>
  </si>
  <si>
    <t>MT1.5-1-01</t>
  </si>
  <si>
    <t>MT2-1-02</t>
  </si>
  <si>
    <t>MT3-1-D22042701</t>
  </si>
  <si>
    <t>MT4-1</t>
  </si>
  <si>
    <t>MT5-1</t>
  </si>
  <si>
    <t>MT5-2</t>
  </si>
  <si>
    <t>MT6-2</t>
  </si>
  <si>
    <t>MT7-2</t>
  </si>
  <si>
    <t>MT10-1</t>
  </si>
  <si>
    <t>MT10-2</t>
  </si>
  <si>
    <t>MT15-1</t>
  </si>
  <si>
    <t>Analog(0) or Digital(1)</t>
  </si>
  <si>
    <t>Accuracy (°)</t>
  </si>
  <si>
    <t>CubeSense Earth</t>
  </si>
  <si>
    <t>Infrared camera</t>
  </si>
  <si>
    <t>Servo</t>
  </si>
  <si>
    <t>Mini Digital HCI</t>
  </si>
  <si>
    <t>Pyroelectric</t>
  </si>
  <si>
    <t>RH 310 HCI</t>
  </si>
  <si>
    <t>HSNS</t>
  </si>
  <si>
    <t>Infrared</t>
  </si>
  <si>
    <t>Accuracy (m)</t>
  </si>
  <si>
    <t>GNSS-701</t>
  </si>
  <si>
    <t>APL</t>
  </si>
  <si>
    <t>Frontier Radio Lite</t>
  </si>
  <si>
    <t>Aerospacelab</t>
  </si>
  <si>
    <t>GNSS-VSP </t>
  </si>
  <si>
    <t>General Dynamics</t>
  </si>
  <si>
    <t>Explorer</t>
  </si>
  <si>
    <t>Viceroy-4</t>
  </si>
  <si>
    <t>NovaTel</t>
  </si>
  <si>
    <t>OEM 719</t>
  </si>
  <si>
    <t>SkyFox Labs</t>
  </si>
  <si>
    <t>piNAV-NG</t>
  </si>
  <si>
    <t>Spacemanic</t>
  </si>
  <si>
    <t xml:space="preserve">Celeste_gnss_rx </t>
  </si>
  <si>
    <t>Surrey Satellite Technology</t>
  </si>
  <si>
    <t>SGR-Ligo</t>
  </si>
  <si>
    <t>Rx Power (W)</t>
  </si>
  <si>
    <t>Bands</t>
  </si>
  <si>
    <t>SDST</t>
  </si>
  <si>
    <t>X, Ka</t>
  </si>
  <si>
    <t>Space Dynamics Laboratory</t>
  </si>
  <si>
    <t>IRIS V2.1</t>
  </si>
  <si>
    <t>X, Ka, S, UHF</t>
  </si>
  <si>
    <t xml:space="preserve">Iris Radio V3 </t>
  </si>
  <si>
    <t xml:space="preserve">X, Ka, S </t>
  </si>
  <si>
    <t>Max Range (m)</t>
  </si>
  <si>
    <t>ASC</t>
  </si>
  <si>
    <t>GSFL-4K (3D)</t>
  </si>
  <si>
    <t>Garmin</t>
  </si>
  <si>
    <t>Lidar Lite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</si>
</sst>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16" sqref="D16"/>
    </sheetView>
  </sheetViews>
  <sheetFormatPr defaultColWidth="8.85546875" defaultRowHeight="15"/>
  <cols>
    <col min="4" max="4" width="54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9</v>
      </c>
      <c r="G2" s="1" t="s">
        <v>9</v>
      </c>
      <c r="H2" s="1" t="s">
        <v>9</v>
      </c>
    </row>
    <row r="3" spans="1:8">
      <c r="A3" t="s">
        <v>12</v>
      </c>
      <c r="B3" t="s">
        <v>13</v>
      </c>
      <c r="C3">
        <v>0.47</v>
      </c>
      <c r="D3" t="s">
        <v>14</v>
      </c>
      <c r="E3">
        <v>1</v>
      </c>
      <c r="F3">
        <v>1</v>
      </c>
      <c r="G3">
        <v>3</v>
      </c>
      <c r="H3">
        <v>3</v>
      </c>
    </row>
    <row r="4" spans="1:8">
      <c r="A4" t="s">
        <v>12</v>
      </c>
      <c r="B4" t="s">
        <v>15</v>
      </c>
      <c r="C4">
        <v>1.7</v>
      </c>
      <c r="D4" t="s">
        <v>14</v>
      </c>
      <c r="E4">
        <v>1</v>
      </c>
      <c r="F4">
        <v>1</v>
      </c>
      <c r="G4">
        <v>3</v>
      </c>
      <c r="H4">
        <v>3</v>
      </c>
    </row>
    <row r="5" spans="1:8">
      <c r="A5" t="s">
        <v>16</v>
      </c>
      <c r="B5" t="s">
        <v>17</v>
      </c>
      <c r="C5">
        <v>0.71499999999999997</v>
      </c>
      <c r="D5" t="s">
        <v>18</v>
      </c>
      <c r="E5">
        <v>1</v>
      </c>
      <c r="F5">
        <v>0.1</v>
      </c>
      <c r="G5">
        <v>3</v>
      </c>
      <c r="H5">
        <v>3</v>
      </c>
    </row>
    <row r="6" spans="1:8">
      <c r="A6" t="s">
        <v>19</v>
      </c>
      <c r="B6" t="s">
        <v>20</v>
      </c>
      <c r="C6">
        <v>0.4</v>
      </c>
      <c r="D6" t="s">
        <v>21</v>
      </c>
      <c r="E6">
        <v>1</v>
      </c>
      <c r="F6">
        <v>1</v>
      </c>
      <c r="G6">
        <v>3</v>
      </c>
      <c r="H6">
        <v>3</v>
      </c>
    </row>
    <row r="7" spans="1:8">
      <c r="A7" t="s">
        <v>22</v>
      </c>
      <c r="B7" t="s">
        <v>23</v>
      </c>
      <c r="D7" t="s">
        <v>24</v>
      </c>
      <c r="E7">
        <v>1</v>
      </c>
      <c r="F7">
        <v>2E-3</v>
      </c>
      <c r="G7">
        <v>4</v>
      </c>
      <c r="H7">
        <v>3</v>
      </c>
    </row>
    <row r="8" spans="1:8">
      <c r="A8" t="s">
        <v>22</v>
      </c>
      <c r="B8" t="s">
        <v>25</v>
      </c>
      <c r="C8">
        <v>1.8129999999999999</v>
      </c>
      <c r="D8" t="s">
        <v>26</v>
      </c>
      <c r="E8">
        <v>1</v>
      </c>
      <c r="F8">
        <v>7.0000000000000001E-3</v>
      </c>
      <c r="G8">
        <v>3</v>
      </c>
      <c r="H8">
        <v>3</v>
      </c>
    </row>
    <row r="9" spans="1:8">
      <c r="A9" t="s">
        <v>22</v>
      </c>
      <c r="B9" t="s">
        <v>27</v>
      </c>
      <c r="C9">
        <v>0.88500000000000001</v>
      </c>
      <c r="D9" t="s">
        <v>26</v>
      </c>
      <c r="E9">
        <v>1</v>
      </c>
      <c r="F9">
        <v>7.0000000000000001E-3</v>
      </c>
      <c r="G9">
        <v>3</v>
      </c>
      <c r="H9">
        <v>3</v>
      </c>
    </row>
    <row r="10" spans="1:8">
      <c r="A10" t="s">
        <v>22</v>
      </c>
      <c r="B10" t="s">
        <v>28</v>
      </c>
      <c r="C10">
        <v>1.23</v>
      </c>
      <c r="D10" t="s">
        <v>26</v>
      </c>
      <c r="E10">
        <v>1</v>
      </c>
      <c r="F10">
        <v>7.0000000000000001E-3</v>
      </c>
      <c r="G10">
        <v>3</v>
      </c>
      <c r="H10">
        <v>3</v>
      </c>
    </row>
    <row r="11" spans="1:8">
      <c r="A11" t="s">
        <v>29</v>
      </c>
      <c r="B11" t="s">
        <v>30</v>
      </c>
      <c r="C11">
        <v>0.26</v>
      </c>
      <c r="D11" t="s">
        <v>31</v>
      </c>
      <c r="E11">
        <v>1</v>
      </c>
      <c r="F11">
        <v>1.9400000000000001E-2</v>
      </c>
      <c r="G11">
        <v>0</v>
      </c>
      <c r="H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G11" sqref="G11"/>
    </sheetView>
  </sheetViews>
  <sheetFormatPr defaultColWidth="8.85546875" defaultRowHeight="15"/>
  <sheetData>
    <row r="1" spans="1:8">
      <c r="A1" s="1" t="s">
        <v>0</v>
      </c>
      <c r="B1" s="1" t="s">
        <v>1</v>
      </c>
      <c r="C1" s="1" t="s">
        <v>2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s="1" t="s">
        <v>8</v>
      </c>
      <c r="B2" s="1" t="s">
        <v>8</v>
      </c>
      <c r="C2" s="1" t="s">
        <v>9</v>
      </c>
      <c r="D2" s="1" t="s">
        <v>9</v>
      </c>
      <c r="E2" s="1" t="s">
        <v>37</v>
      </c>
      <c r="F2" s="1" t="s">
        <v>9</v>
      </c>
      <c r="G2" s="1" t="s">
        <v>9</v>
      </c>
      <c r="H2" s="1" t="s">
        <v>9</v>
      </c>
    </row>
    <row r="3" spans="1:8">
      <c r="A3" t="s">
        <v>16</v>
      </c>
      <c r="B3" t="s">
        <v>38</v>
      </c>
      <c r="C3">
        <v>0.27500000000000002</v>
      </c>
      <c r="D3">
        <v>1.4</v>
      </c>
      <c r="E3" t="s">
        <v>39</v>
      </c>
      <c r="F3">
        <v>6</v>
      </c>
      <c r="G3">
        <v>30</v>
      </c>
      <c r="H3">
        <v>20</v>
      </c>
    </row>
    <row r="4" spans="1:8">
      <c r="A4" t="s">
        <v>16</v>
      </c>
      <c r="B4" t="s">
        <v>40</v>
      </c>
      <c r="C4">
        <v>0.04</v>
      </c>
      <c r="D4">
        <v>0.6</v>
      </c>
      <c r="E4" t="s">
        <v>41</v>
      </c>
      <c r="F4">
        <v>30</v>
      </c>
      <c r="G4">
        <v>180</v>
      </c>
    </row>
    <row r="5" spans="1:8">
      <c r="A5" t="s">
        <v>42</v>
      </c>
      <c r="B5" t="s">
        <v>43</v>
      </c>
      <c r="C5">
        <v>3</v>
      </c>
      <c r="D5">
        <v>8</v>
      </c>
      <c r="F5">
        <v>1.5</v>
      </c>
      <c r="G5">
        <v>1</v>
      </c>
    </row>
    <row r="6" spans="1:8">
      <c r="A6" t="s">
        <v>44</v>
      </c>
      <c r="B6" t="s">
        <v>45</v>
      </c>
      <c r="C6">
        <v>7.2999999999999995E-2</v>
      </c>
      <c r="D6">
        <v>0.65</v>
      </c>
      <c r="E6" t="s">
        <v>46</v>
      </c>
      <c r="F6">
        <v>30</v>
      </c>
      <c r="G6">
        <v>200</v>
      </c>
      <c r="H6">
        <v>11</v>
      </c>
    </row>
    <row r="7" spans="1:8">
      <c r="A7" t="s">
        <v>44</v>
      </c>
      <c r="B7" t="s">
        <v>47</v>
      </c>
      <c r="C7">
        <v>0.26</v>
      </c>
      <c r="D7">
        <v>0.75</v>
      </c>
      <c r="E7" t="s">
        <v>48</v>
      </c>
      <c r="F7">
        <v>15</v>
      </c>
      <c r="G7">
        <v>150</v>
      </c>
      <c r="H7">
        <v>11</v>
      </c>
    </row>
    <row r="8" spans="1:8">
      <c r="A8" t="s">
        <v>22</v>
      </c>
      <c r="B8" t="s">
        <v>49</v>
      </c>
      <c r="C8">
        <v>0.35</v>
      </c>
      <c r="D8">
        <v>1.5</v>
      </c>
      <c r="E8" t="s">
        <v>50</v>
      </c>
      <c r="F8">
        <v>6</v>
      </c>
      <c r="G8">
        <v>40</v>
      </c>
    </row>
    <row r="9" spans="1:8">
      <c r="A9" t="s">
        <v>22</v>
      </c>
      <c r="B9" t="s">
        <v>51</v>
      </c>
      <c r="C9">
        <v>1.3</v>
      </c>
      <c r="D9">
        <v>1.5</v>
      </c>
      <c r="E9" t="s">
        <v>50</v>
      </c>
      <c r="F9">
        <v>6</v>
      </c>
      <c r="G9">
        <v>40</v>
      </c>
    </row>
    <row r="10" spans="1:8">
      <c r="A10" t="s">
        <v>52</v>
      </c>
      <c r="B10" t="s">
        <v>53</v>
      </c>
      <c r="C10">
        <v>0.84</v>
      </c>
      <c r="F10">
        <v>7</v>
      </c>
      <c r="G10">
        <v>15</v>
      </c>
    </row>
    <row r="11" spans="1:8">
      <c r="A11" t="s">
        <v>29</v>
      </c>
      <c r="B11" t="s">
        <v>54</v>
      </c>
      <c r="C11">
        <v>4.7E-2</v>
      </c>
      <c r="D11">
        <v>0.27100000000000002</v>
      </c>
      <c r="E11" t="s">
        <v>55</v>
      </c>
      <c r="H11">
        <v>24</v>
      </c>
    </row>
    <row r="12" spans="1:8">
      <c r="A12" t="s">
        <v>56</v>
      </c>
      <c r="B12" t="s">
        <v>57</v>
      </c>
      <c r="C12">
        <v>0.42499999999999999</v>
      </c>
      <c r="D12">
        <v>1.9</v>
      </c>
      <c r="F12">
        <v>2</v>
      </c>
    </row>
    <row r="13" spans="1:8">
      <c r="A13" t="s">
        <v>58</v>
      </c>
      <c r="B13" t="s">
        <v>59</v>
      </c>
      <c r="C13">
        <v>0.30499999999999999</v>
      </c>
      <c r="D13">
        <v>1</v>
      </c>
      <c r="E13" t="s">
        <v>60</v>
      </c>
      <c r="F13">
        <v>6</v>
      </c>
      <c r="G13">
        <v>48</v>
      </c>
      <c r="H13">
        <v>50</v>
      </c>
    </row>
    <row r="14" spans="1:8">
      <c r="A14" t="s">
        <v>58</v>
      </c>
      <c r="B14" t="s">
        <v>61</v>
      </c>
      <c r="C14">
        <v>2</v>
      </c>
      <c r="D14">
        <v>12</v>
      </c>
      <c r="E14" t="s">
        <v>62</v>
      </c>
      <c r="F14">
        <v>3</v>
      </c>
      <c r="G14">
        <v>24</v>
      </c>
      <c r="H14">
        <v>100</v>
      </c>
    </row>
    <row r="15" spans="1:8">
      <c r="A15" t="s">
        <v>58</v>
      </c>
      <c r="B15" t="s">
        <v>63</v>
      </c>
      <c r="C15">
        <v>1.8</v>
      </c>
      <c r="D15">
        <v>8</v>
      </c>
      <c r="E15" t="s">
        <v>62</v>
      </c>
      <c r="F15">
        <v>2.4</v>
      </c>
      <c r="G15">
        <v>21</v>
      </c>
      <c r="H15">
        <v>100</v>
      </c>
    </row>
    <row r="16" spans="1:8">
      <c r="A16" t="s">
        <v>64</v>
      </c>
      <c r="B16" t="s">
        <v>65</v>
      </c>
      <c r="C16">
        <v>1.6</v>
      </c>
      <c r="D16">
        <v>6</v>
      </c>
      <c r="E16" t="s">
        <v>62</v>
      </c>
      <c r="F16">
        <v>7.7</v>
      </c>
      <c r="G16">
        <v>10.6</v>
      </c>
    </row>
    <row r="17" spans="1:8">
      <c r="A17" t="s">
        <v>66</v>
      </c>
      <c r="B17" t="s">
        <v>67</v>
      </c>
      <c r="C17">
        <v>0.108</v>
      </c>
      <c r="D17">
        <v>1.2</v>
      </c>
      <c r="E17" t="s">
        <v>68</v>
      </c>
      <c r="F17">
        <v>8</v>
      </c>
      <c r="G17">
        <v>50</v>
      </c>
      <c r="H17">
        <v>20</v>
      </c>
    </row>
    <row r="18" spans="1:8">
      <c r="A18" t="s">
        <v>69</v>
      </c>
      <c r="B18" t="s">
        <v>70</v>
      </c>
      <c r="C18">
        <v>0.47499999999999998</v>
      </c>
      <c r="D18">
        <v>2.5</v>
      </c>
      <c r="E18" t="s">
        <v>71</v>
      </c>
      <c r="F18">
        <v>0.37</v>
      </c>
      <c r="G18">
        <v>51</v>
      </c>
      <c r="H18">
        <v>75</v>
      </c>
    </row>
    <row r="19" spans="1:8">
      <c r="A19" t="s">
        <v>72</v>
      </c>
      <c r="B19" t="s">
        <v>73</v>
      </c>
      <c r="C19">
        <v>0.185</v>
      </c>
      <c r="D19">
        <v>1</v>
      </c>
      <c r="E19" t="s">
        <v>74</v>
      </c>
      <c r="F19">
        <v>5</v>
      </c>
      <c r="G19">
        <v>55</v>
      </c>
    </row>
    <row r="20" spans="1:8">
      <c r="A20" t="s">
        <v>75</v>
      </c>
      <c r="B20" t="s">
        <v>76</v>
      </c>
      <c r="C20">
        <v>0.22500000000000001</v>
      </c>
      <c r="D20">
        <v>0.8</v>
      </c>
      <c r="E20" t="s">
        <v>77</v>
      </c>
      <c r="F20">
        <v>10</v>
      </c>
      <c r="G20">
        <v>70</v>
      </c>
      <c r="H20">
        <v>35</v>
      </c>
    </row>
    <row r="21" spans="1:8">
      <c r="A21" t="s">
        <v>75</v>
      </c>
      <c r="B21" t="s">
        <v>78</v>
      </c>
      <c r="C21">
        <v>1.4</v>
      </c>
      <c r="D21">
        <v>0.7</v>
      </c>
      <c r="E21" t="s">
        <v>46</v>
      </c>
      <c r="F21">
        <v>3</v>
      </c>
      <c r="G21">
        <v>30</v>
      </c>
      <c r="H21">
        <v>50</v>
      </c>
    </row>
    <row r="22" spans="1:8">
      <c r="A22" t="s">
        <v>75</v>
      </c>
      <c r="B22" t="s">
        <v>79</v>
      </c>
      <c r="C22">
        <v>1.6</v>
      </c>
      <c r="D22">
        <v>9.5</v>
      </c>
      <c r="E22" t="s">
        <v>80</v>
      </c>
      <c r="F22">
        <v>3</v>
      </c>
      <c r="G22">
        <v>30</v>
      </c>
      <c r="H22">
        <v>50</v>
      </c>
    </row>
    <row r="23" spans="1:8">
      <c r="A23" t="s">
        <v>81</v>
      </c>
      <c r="B23" t="s">
        <v>82</v>
      </c>
      <c r="C23">
        <v>0.14000000000000001</v>
      </c>
      <c r="D23">
        <v>1</v>
      </c>
      <c r="E23" t="s">
        <v>83</v>
      </c>
      <c r="F23">
        <v>40</v>
      </c>
      <c r="G23">
        <v>70</v>
      </c>
      <c r="H23">
        <v>20</v>
      </c>
    </row>
    <row r="24" spans="1:8">
      <c r="A24" t="s">
        <v>84</v>
      </c>
      <c r="B24" t="s">
        <v>85</v>
      </c>
      <c r="C24">
        <v>0.52</v>
      </c>
      <c r="D24">
        <v>3</v>
      </c>
      <c r="E24" t="s">
        <v>86</v>
      </c>
      <c r="F24">
        <v>15</v>
      </c>
      <c r="G24">
        <v>105</v>
      </c>
      <c r="H24">
        <v>30</v>
      </c>
    </row>
    <row r="25" spans="1:8">
      <c r="A25" t="s">
        <v>84</v>
      </c>
      <c r="B25" t="s">
        <v>87</v>
      </c>
      <c r="C25">
        <v>1.8</v>
      </c>
      <c r="D25">
        <v>5</v>
      </c>
      <c r="F25">
        <v>15</v>
      </c>
      <c r="G25">
        <v>105</v>
      </c>
      <c r="H25">
        <v>100</v>
      </c>
    </row>
    <row r="26" spans="1:8">
      <c r="A26" t="s">
        <v>84</v>
      </c>
      <c r="B26" t="s">
        <v>88</v>
      </c>
      <c r="C26">
        <v>2.1</v>
      </c>
      <c r="D26">
        <v>10</v>
      </c>
      <c r="F26">
        <v>15</v>
      </c>
      <c r="G26">
        <v>105</v>
      </c>
      <c r="H26">
        <v>100</v>
      </c>
    </row>
    <row r="27" spans="1:8">
      <c r="A27" t="s">
        <v>84</v>
      </c>
      <c r="B27" t="s">
        <v>89</v>
      </c>
      <c r="C27">
        <v>2.7</v>
      </c>
      <c r="D27">
        <v>10</v>
      </c>
      <c r="F27">
        <v>3</v>
      </c>
      <c r="G27">
        <v>21</v>
      </c>
      <c r="H27">
        <v>100</v>
      </c>
    </row>
    <row r="28" spans="1:8">
      <c r="A28" t="s">
        <v>84</v>
      </c>
      <c r="B28" t="s">
        <v>90</v>
      </c>
      <c r="C28">
        <v>3.3</v>
      </c>
      <c r="D28">
        <v>18</v>
      </c>
      <c r="F28">
        <v>15</v>
      </c>
      <c r="G28">
        <v>105</v>
      </c>
      <c r="H28">
        <v>100</v>
      </c>
    </row>
    <row r="29" spans="1:8">
      <c r="A29" t="s">
        <v>91</v>
      </c>
      <c r="B29" t="s">
        <v>92</v>
      </c>
      <c r="C29">
        <v>1.9800000000000002E-2</v>
      </c>
      <c r="D29">
        <v>3.3</v>
      </c>
      <c r="E29" t="s">
        <v>62</v>
      </c>
      <c r="F29">
        <v>3</v>
      </c>
      <c r="G29">
        <v>21</v>
      </c>
      <c r="H29">
        <v>55</v>
      </c>
    </row>
    <row r="30" spans="1:8">
      <c r="A30" t="s">
        <v>91</v>
      </c>
      <c r="B30" t="s">
        <v>93</v>
      </c>
      <c r="C30">
        <v>0.20399999999999999</v>
      </c>
      <c r="D30">
        <v>2</v>
      </c>
      <c r="E30" t="s">
        <v>62</v>
      </c>
      <c r="F30">
        <v>3.2</v>
      </c>
      <c r="G30">
        <v>22</v>
      </c>
      <c r="H30">
        <v>35</v>
      </c>
    </row>
    <row r="31" spans="1:8">
      <c r="A31" t="s">
        <v>94</v>
      </c>
      <c r="B31" t="s">
        <v>95</v>
      </c>
      <c r="C31">
        <v>0.8</v>
      </c>
      <c r="D31">
        <v>2.5</v>
      </c>
      <c r="E31" t="s">
        <v>96</v>
      </c>
      <c r="F31">
        <v>27</v>
      </c>
      <c r="G31">
        <v>183</v>
      </c>
      <c r="H31">
        <v>20</v>
      </c>
    </row>
    <row r="32" spans="1:8">
      <c r="A32" t="s">
        <v>94</v>
      </c>
      <c r="B32" t="s">
        <v>97</v>
      </c>
      <c r="C32">
        <v>0.47</v>
      </c>
      <c r="D32">
        <v>3</v>
      </c>
      <c r="E32" t="s">
        <v>96</v>
      </c>
      <c r="F32">
        <v>7.5</v>
      </c>
      <c r="G32">
        <v>45</v>
      </c>
      <c r="H32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H4" sqref="H4"/>
    </sheetView>
  </sheetViews>
  <sheetFormatPr defaultColWidth="8.8554687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32</v>
      </c>
      <c r="E1" s="1" t="s">
        <v>98</v>
      </c>
      <c r="F1" s="1" t="s">
        <v>99</v>
      </c>
      <c r="G1" s="1" t="s">
        <v>100</v>
      </c>
    </row>
    <row r="2" spans="1:7">
      <c r="A2" t="s">
        <v>8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>
      <c r="A3" t="s">
        <v>12</v>
      </c>
      <c r="B3" t="s">
        <v>101</v>
      </c>
      <c r="C3">
        <v>1.2E-2</v>
      </c>
      <c r="D3">
        <v>0.01</v>
      </c>
      <c r="E3">
        <v>1.18</v>
      </c>
      <c r="G3">
        <v>30</v>
      </c>
    </row>
    <row r="4" spans="1:7">
      <c r="A4" t="s">
        <v>12</v>
      </c>
      <c r="B4" t="s">
        <v>102</v>
      </c>
      <c r="C4">
        <v>0.1</v>
      </c>
      <c r="F4">
        <v>1</v>
      </c>
      <c r="G4">
        <v>10</v>
      </c>
    </row>
    <row r="5" spans="1:7">
      <c r="A5" t="s">
        <v>29</v>
      </c>
      <c r="B5" t="s">
        <v>103</v>
      </c>
      <c r="C5">
        <v>1.6E-2</v>
      </c>
      <c r="D5">
        <v>0.23</v>
      </c>
      <c r="E5">
        <v>13</v>
      </c>
      <c r="F5">
        <v>0.6</v>
      </c>
      <c r="G5">
        <v>24</v>
      </c>
    </row>
    <row r="6" spans="1:7">
      <c r="A6" t="s">
        <v>29</v>
      </c>
      <c r="B6" t="s">
        <v>104</v>
      </c>
      <c r="C6">
        <v>6.0000000000000001E-3</v>
      </c>
      <c r="D6">
        <v>0.23</v>
      </c>
      <c r="E6">
        <v>25</v>
      </c>
      <c r="F6">
        <v>0.6</v>
      </c>
      <c r="G6">
        <v>24</v>
      </c>
    </row>
    <row r="7" spans="1:7">
      <c r="A7" t="s">
        <v>105</v>
      </c>
      <c r="B7" t="s">
        <v>106</v>
      </c>
      <c r="C7">
        <v>8.0000000000000002E-3</v>
      </c>
    </row>
    <row r="8" spans="1:7">
      <c r="A8" t="s">
        <v>107</v>
      </c>
      <c r="B8" t="s">
        <v>108</v>
      </c>
      <c r="C8">
        <v>8.5000000000000006E-2</v>
      </c>
      <c r="D8">
        <v>0.75</v>
      </c>
      <c r="E8">
        <v>8</v>
      </c>
      <c r="F8">
        <v>1</v>
      </c>
      <c r="G8">
        <v>10</v>
      </c>
    </row>
    <row r="9" spans="1:7">
      <c r="A9" t="s">
        <v>109</v>
      </c>
      <c r="B9" t="s">
        <v>110</v>
      </c>
      <c r="C9">
        <v>0.22</v>
      </c>
      <c r="D9">
        <v>1.5</v>
      </c>
      <c r="F9">
        <v>1</v>
      </c>
    </row>
    <row r="10" spans="1:7">
      <c r="A10" t="s">
        <v>111</v>
      </c>
      <c r="B10" t="s">
        <v>112</v>
      </c>
      <c r="C10">
        <v>0.33</v>
      </c>
      <c r="D10">
        <v>0.75</v>
      </c>
      <c r="F10">
        <v>1</v>
      </c>
      <c r="G10">
        <v>50</v>
      </c>
    </row>
    <row r="11" spans="1:7">
      <c r="A11" t="s">
        <v>111</v>
      </c>
      <c r="B11" t="s">
        <v>113</v>
      </c>
      <c r="C11">
        <v>0.18</v>
      </c>
      <c r="D11">
        <v>0.3</v>
      </c>
      <c r="F11">
        <v>1</v>
      </c>
    </row>
    <row r="12" spans="1:7">
      <c r="A12" t="s">
        <v>111</v>
      </c>
      <c r="B12" t="s">
        <v>114</v>
      </c>
      <c r="C12">
        <v>0.18</v>
      </c>
      <c r="D12">
        <v>0.3</v>
      </c>
      <c r="F1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>
      <selection activeCell="M8" sqref="M8"/>
    </sheetView>
  </sheetViews>
  <sheetFormatPr defaultColWidth="8.85546875" defaultRowHeight="15"/>
  <cols>
    <col min="1" max="1" width="26.85546875" bestFit="1" customWidth="1"/>
    <col min="2" max="3" width="35" bestFit="1" customWidth="1"/>
    <col min="4" max="4" width="9.42578125" bestFit="1" customWidth="1"/>
    <col min="5" max="5" width="15.42578125" bestFit="1" customWidth="1"/>
    <col min="6" max="6" width="8" bestFit="1" customWidth="1"/>
    <col min="7" max="7" width="21.85546875" bestFit="1" customWidth="1"/>
    <col min="8" max="8" width="24.7109375" bestFit="1" customWidth="1"/>
    <col min="9" max="9" width="8" bestFit="1" customWidth="1"/>
    <col min="10" max="10" width="6.7109375" bestFit="1" customWidth="1"/>
    <col min="11" max="11" width="14.5703125" bestFit="1" customWidth="1"/>
  </cols>
  <sheetData>
    <row r="1" spans="1:11">
      <c r="A1" s="1" t="s">
        <v>0</v>
      </c>
      <c r="B1" s="1" t="s">
        <v>1</v>
      </c>
      <c r="C1" s="1" t="s">
        <v>115</v>
      </c>
      <c r="D1" s="1" t="s">
        <v>2</v>
      </c>
      <c r="E1" s="1" t="s">
        <v>116</v>
      </c>
      <c r="F1" s="1" t="s">
        <v>117</v>
      </c>
      <c r="G1" s="1" t="s">
        <v>118</v>
      </c>
      <c r="H1" s="1" t="s">
        <v>36</v>
      </c>
      <c r="I1" s="1" t="s">
        <v>119</v>
      </c>
      <c r="J1" s="1" t="s">
        <v>120</v>
      </c>
      <c r="K1" s="1" t="s">
        <v>121</v>
      </c>
    </row>
    <row r="2" spans="1:11">
      <c r="A2" t="s">
        <v>8</v>
      </c>
      <c r="B2" t="s">
        <v>8</v>
      </c>
      <c r="C2" t="s">
        <v>8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11</v>
      </c>
      <c r="K2" t="s">
        <v>9</v>
      </c>
    </row>
    <row r="3" spans="1:11">
      <c r="A3" t="s">
        <v>12</v>
      </c>
      <c r="B3" t="s">
        <v>122</v>
      </c>
      <c r="D3">
        <v>3.0000000000000001E-3</v>
      </c>
      <c r="E3">
        <v>0.04</v>
      </c>
      <c r="F3">
        <v>110</v>
      </c>
      <c r="H3">
        <v>36</v>
      </c>
      <c r="I3">
        <v>9</v>
      </c>
      <c r="J3">
        <v>1</v>
      </c>
      <c r="K3">
        <v>1</v>
      </c>
    </row>
    <row r="4" spans="1:11">
      <c r="A4" t="s">
        <v>19</v>
      </c>
      <c r="B4" t="s">
        <v>123</v>
      </c>
      <c r="C4" t="s">
        <v>124</v>
      </c>
      <c r="D4">
        <v>0.10199999999999999</v>
      </c>
      <c r="E4">
        <v>0.185</v>
      </c>
      <c r="F4">
        <v>114</v>
      </c>
      <c r="H4">
        <v>20</v>
      </c>
      <c r="I4">
        <v>9</v>
      </c>
      <c r="J4">
        <v>0</v>
      </c>
      <c r="K4">
        <v>5</v>
      </c>
    </row>
    <row r="5" spans="1:11">
      <c r="A5" t="s">
        <v>125</v>
      </c>
      <c r="B5" t="s">
        <v>126</v>
      </c>
      <c r="C5" t="s">
        <v>127</v>
      </c>
      <c r="D5">
        <v>2.4E-2</v>
      </c>
      <c r="E5">
        <v>0</v>
      </c>
      <c r="F5">
        <v>160</v>
      </c>
      <c r="G5">
        <v>1</v>
      </c>
      <c r="H5">
        <v>40000</v>
      </c>
      <c r="I5">
        <v>9</v>
      </c>
      <c r="J5">
        <v>0</v>
      </c>
      <c r="K5">
        <v>3</v>
      </c>
    </row>
    <row r="6" spans="1:11">
      <c r="A6" t="s">
        <v>125</v>
      </c>
      <c r="B6" t="s">
        <v>128</v>
      </c>
      <c r="C6" t="s">
        <v>127</v>
      </c>
      <c r="D6">
        <v>1.4999999999999999E-2</v>
      </c>
      <c r="E6">
        <v>0</v>
      </c>
      <c r="F6">
        <v>180</v>
      </c>
      <c r="G6">
        <v>1</v>
      </c>
      <c r="H6">
        <v>120000</v>
      </c>
      <c r="I6">
        <v>9</v>
      </c>
      <c r="J6">
        <v>0</v>
      </c>
      <c r="K6">
        <v>3</v>
      </c>
    </row>
    <row r="7" spans="1:11">
      <c r="A7" t="s">
        <v>125</v>
      </c>
      <c r="B7" t="s">
        <v>129</v>
      </c>
      <c r="C7" t="s">
        <v>127</v>
      </c>
      <c r="D7">
        <v>0.215</v>
      </c>
      <c r="E7">
        <v>0</v>
      </c>
      <c r="F7">
        <v>18</v>
      </c>
      <c r="G7">
        <v>2</v>
      </c>
      <c r="H7">
        <v>70000</v>
      </c>
      <c r="I7">
        <v>9</v>
      </c>
      <c r="J7">
        <v>0</v>
      </c>
      <c r="K7">
        <v>1.5</v>
      </c>
    </row>
    <row r="8" spans="1:11">
      <c r="A8" t="s">
        <v>125</v>
      </c>
      <c r="B8" t="s">
        <v>130</v>
      </c>
      <c r="C8" t="s">
        <v>131</v>
      </c>
      <c r="D8">
        <v>0.375</v>
      </c>
      <c r="E8">
        <v>0.25</v>
      </c>
      <c r="F8">
        <v>128</v>
      </c>
      <c r="G8">
        <v>2</v>
      </c>
      <c r="H8">
        <v>100</v>
      </c>
      <c r="I8">
        <v>9</v>
      </c>
      <c r="J8">
        <v>0</v>
      </c>
      <c r="K8">
        <v>0.3</v>
      </c>
    </row>
    <row r="9" spans="1:11">
      <c r="A9" t="s">
        <v>125</v>
      </c>
      <c r="B9" t="s">
        <v>132</v>
      </c>
      <c r="C9" t="s">
        <v>131</v>
      </c>
      <c r="D9">
        <v>0.05</v>
      </c>
      <c r="E9">
        <v>0</v>
      </c>
      <c r="F9">
        <v>128</v>
      </c>
      <c r="G9">
        <v>2</v>
      </c>
      <c r="H9">
        <v>20000</v>
      </c>
      <c r="I9">
        <v>9</v>
      </c>
      <c r="J9">
        <v>0</v>
      </c>
      <c r="K9">
        <v>0.2</v>
      </c>
    </row>
    <row r="10" spans="1:11">
      <c r="A10" t="s">
        <v>29</v>
      </c>
      <c r="B10" t="s">
        <v>133</v>
      </c>
      <c r="C10" t="s">
        <v>134</v>
      </c>
      <c r="D10">
        <v>1.4999999999999999E-2</v>
      </c>
      <c r="E10">
        <v>0.17399999999999999</v>
      </c>
      <c r="F10">
        <v>0.2</v>
      </c>
      <c r="G10">
        <v>24</v>
      </c>
      <c r="I10">
        <v>9</v>
      </c>
      <c r="J10">
        <v>1</v>
      </c>
      <c r="K10">
        <v>2</v>
      </c>
    </row>
    <row r="11" spans="1:11">
      <c r="A11" t="s">
        <v>105</v>
      </c>
      <c r="B11" t="s">
        <v>135</v>
      </c>
      <c r="C11" t="s">
        <v>131</v>
      </c>
      <c r="D11">
        <v>2E-3</v>
      </c>
      <c r="F11">
        <v>40</v>
      </c>
      <c r="G11">
        <v>2</v>
      </c>
      <c r="J11">
        <v>1</v>
      </c>
      <c r="K11">
        <v>1.25</v>
      </c>
    </row>
    <row r="12" spans="1:11">
      <c r="A12" t="s">
        <v>136</v>
      </c>
      <c r="B12" t="s">
        <v>137</v>
      </c>
      <c r="C12" t="s">
        <v>131</v>
      </c>
      <c r="D12">
        <v>2.3E-2</v>
      </c>
      <c r="E12">
        <v>0</v>
      </c>
      <c r="F12">
        <f>2*58</f>
        <v>116</v>
      </c>
      <c r="G12">
        <v>2</v>
      </c>
      <c r="H12">
        <v>9200</v>
      </c>
      <c r="I12">
        <v>8</v>
      </c>
      <c r="J12">
        <v>0</v>
      </c>
      <c r="K12">
        <v>0.5</v>
      </c>
    </row>
    <row r="13" spans="1:11">
      <c r="A13" t="s">
        <v>136</v>
      </c>
      <c r="B13" t="s">
        <v>138</v>
      </c>
      <c r="C13" t="s">
        <v>131</v>
      </c>
      <c r="D13">
        <v>3.3000000000000002E-2</v>
      </c>
      <c r="E13">
        <v>0</v>
      </c>
      <c r="F13">
        <v>116</v>
      </c>
      <c r="G13">
        <v>2</v>
      </c>
      <c r="H13">
        <v>9200</v>
      </c>
      <c r="I13">
        <v>9</v>
      </c>
      <c r="J13">
        <v>0</v>
      </c>
      <c r="K13">
        <v>0.5</v>
      </c>
    </row>
    <row r="14" spans="1:11">
      <c r="A14" t="s">
        <v>136</v>
      </c>
      <c r="B14" t="s">
        <v>139</v>
      </c>
      <c r="C14" t="s">
        <v>131</v>
      </c>
      <c r="D14">
        <v>1.4E-2</v>
      </c>
      <c r="E14">
        <v>0</v>
      </c>
      <c r="F14">
        <v>114</v>
      </c>
      <c r="G14">
        <v>2</v>
      </c>
      <c r="H14">
        <v>9200</v>
      </c>
      <c r="I14">
        <v>9</v>
      </c>
      <c r="J14">
        <v>0</v>
      </c>
      <c r="K14">
        <v>0.5</v>
      </c>
    </row>
    <row r="15" spans="1:11">
      <c r="A15" t="s">
        <v>140</v>
      </c>
      <c r="B15" t="s">
        <v>141</v>
      </c>
      <c r="C15" t="s">
        <v>124</v>
      </c>
      <c r="D15">
        <v>3.0000000000000001E-3</v>
      </c>
      <c r="E15">
        <v>7.0000000000000001E-3</v>
      </c>
      <c r="F15">
        <v>110</v>
      </c>
      <c r="G15">
        <v>2</v>
      </c>
      <c r="H15">
        <v>20</v>
      </c>
      <c r="I15">
        <v>9</v>
      </c>
      <c r="J15">
        <v>1</v>
      </c>
      <c r="K15">
        <v>0.15</v>
      </c>
    </row>
    <row r="16" spans="1:11">
      <c r="A16" t="s">
        <v>140</v>
      </c>
      <c r="B16" t="s">
        <v>142</v>
      </c>
      <c r="C16" t="s">
        <v>124</v>
      </c>
      <c r="D16">
        <v>5.0000000000000001E-3</v>
      </c>
      <c r="E16">
        <v>1.4999999999999999E-2</v>
      </c>
      <c r="F16">
        <v>110</v>
      </c>
      <c r="G16">
        <v>2</v>
      </c>
      <c r="H16">
        <v>20</v>
      </c>
      <c r="I16">
        <v>6</v>
      </c>
      <c r="J16">
        <v>1</v>
      </c>
      <c r="K16">
        <v>0.1</v>
      </c>
    </row>
    <row r="17" spans="1:11">
      <c r="A17" t="s">
        <v>140</v>
      </c>
      <c r="B17" t="s">
        <v>143</v>
      </c>
      <c r="C17" t="s">
        <v>144</v>
      </c>
      <c r="D17">
        <v>6.0000000000000001E-3</v>
      </c>
      <c r="E17">
        <v>1.4999999999999999E-2</v>
      </c>
      <c r="F17">
        <v>11</v>
      </c>
      <c r="G17">
        <v>2</v>
      </c>
      <c r="H17">
        <v>20</v>
      </c>
      <c r="J17">
        <v>1</v>
      </c>
      <c r="K17">
        <v>0.01</v>
      </c>
    </row>
    <row r="18" spans="1:11">
      <c r="A18" t="s">
        <v>140</v>
      </c>
      <c r="B18" t="s">
        <v>145</v>
      </c>
      <c r="C18" t="s">
        <v>146</v>
      </c>
      <c r="D18">
        <v>7.0000000000000007E-2</v>
      </c>
      <c r="E18">
        <v>0</v>
      </c>
      <c r="F18">
        <v>170</v>
      </c>
      <c r="G18">
        <v>2</v>
      </c>
      <c r="H18">
        <v>1000</v>
      </c>
      <c r="I18">
        <v>6</v>
      </c>
      <c r="J18">
        <v>0</v>
      </c>
      <c r="K18">
        <v>1</v>
      </c>
    </row>
    <row r="19" spans="1:11">
      <c r="A19" t="s">
        <v>107</v>
      </c>
      <c r="B19" t="s">
        <v>147</v>
      </c>
      <c r="D19">
        <v>3.5000000000000003E-2</v>
      </c>
      <c r="E19">
        <v>0.15</v>
      </c>
      <c r="F19">
        <v>140</v>
      </c>
      <c r="H19">
        <v>20</v>
      </c>
      <c r="I19">
        <v>9</v>
      </c>
      <c r="J19">
        <v>1</v>
      </c>
      <c r="K19">
        <v>0.1</v>
      </c>
    </row>
    <row r="20" spans="1:11">
      <c r="A20" t="s">
        <v>107</v>
      </c>
      <c r="B20" t="s">
        <v>148</v>
      </c>
      <c r="D20">
        <v>5.0000000000000001E-3</v>
      </c>
      <c r="E20">
        <v>0.05</v>
      </c>
      <c r="F20">
        <v>114</v>
      </c>
      <c r="I20">
        <v>9</v>
      </c>
      <c r="J20">
        <v>0</v>
      </c>
      <c r="K20">
        <v>0.5</v>
      </c>
    </row>
    <row r="21" spans="1:11">
      <c r="A21" t="s">
        <v>69</v>
      </c>
      <c r="B21" t="s">
        <v>149</v>
      </c>
      <c r="C21" t="s">
        <v>150</v>
      </c>
      <c r="D21">
        <v>4.4999999999999998E-2</v>
      </c>
      <c r="E21">
        <v>0</v>
      </c>
      <c r="F21">
        <v>80</v>
      </c>
      <c r="G21">
        <v>1</v>
      </c>
      <c r="H21">
        <v>100</v>
      </c>
      <c r="I21">
        <v>9</v>
      </c>
      <c r="J21">
        <v>0</v>
      </c>
      <c r="K21">
        <v>1</v>
      </c>
    </row>
    <row r="22" spans="1:11">
      <c r="A22" t="s">
        <v>69</v>
      </c>
      <c r="B22" t="s">
        <v>151</v>
      </c>
      <c r="C22" t="s">
        <v>127</v>
      </c>
      <c r="D22">
        <v>0.01</v>
      </c>
      <c r="E22">
        <v>0</v>
      </c>
      <c r="F22" s="2"/>
      <c r="H22">
        <v>100</v>
      </c>
      <c r="I22">
        <v>9</v>
      </c>
      <c r="J22">
        <v>0</v>
      </c>
      <c r="K22">
        <v>3.5</v>
      </c>
    </row>
    <row r="23" spans="1:11">
      <c r="A23" t="s">
        <v>69</v>
      </c>
      <c r="B23" t="s">
        <v>152</v>
      </c>
      <c r="C23" t="s">
        <v>146</v>
      </c>
      <c r="D23">
        <v>0.13</v>
      </c>
      <c r="F23">
        <v>170</v>
      </c>
      <c r="G23">
        <v>2</v>
      </c>
      <c r="H23">
        <v>100</v>
      </c>
      <c r="I23">
        <v>9</v>
      </c>
      <c r="J23">
        <v>0</v>
      </c>
      <c r="K23">
        <v>2</v>
      </c>
    </row>
    <row r="24" spans="1:11">
      <c r="A24" t="s">
        <v>69</v>
      </c>
      <c r="B24" t="s">
        <v>153</v>
      </c>
      <c r="D24">
        <v>0.3</v>
      </c>
      <c r="E24">
        <v>1</v>
      </c>
      <c r="F24">
        <v>64</v>
      </c>
      <c r="G24">
        <v>2</v>
      </c>
      <c r="H24">
        <v>100</v>
      </c>
      <c r="I24">
        <v>9</v>
      </c>
      <c r="J24">
        <v>1</v>
      </c>
      <c r="K24">
        <v>0.125</v>
      </c>
    </row>
    <row r="25" spans="1:11">
      <c r="A25" t="s">
        <v>69</v>
      </c>
      <c r="B25" t="s">
        <v>154</v>
      </c>
      <c r="D25">
        <v>0.25</v>
      </c>
      <c r="E25">
        <v>0.5</v>
      </c>
      <c r="F25">
        <v>128</v>
      </c>
      <c r="G25">
        <v>2</v>
      </c>
      <c r="H25">
        <v>100</v>
      </c>
      <c r="I25">
        <v>9</v>
      </c>
      <c r="J25">
        <v>1</v>
      </c>
      <c r="K25">
        <v>0.25</v>
      </c>
    </row>
    <row r="26" spans="1:11">
      <c r="A26" t="s">
        <v>69</v>
      </c>
      <c r="B26" t="s">
        <v>155</v>
      </c>
      <c r="C26" t="s">
        <v>144</v>
      </c>
      <c r="D26">
        <v>0.95</v>
      </c>
      <c r="E26">
        <v>3</v>
      </c>
      <c r="F26">
        <v>8.5</v>
      </c>
      <c r="G26">
        <v>2</v>
      </c>
      <c r="H26">
        <v>100</v>
      </c>
      <c r="I26">
        <v>9</v>
      </c>
      <c r="J26">
        <v>1</v>
      </c>
      <c r="K26">
        <v>0.01</v>
      </c>
    </row>
    <row r="27" spans="1:11">
      <c r="A27" t="s">
        <v>69</v>
      </c>
      <c r="B27" t="s">
        <v>156</v>
      </c>
      <c r="C27" t="s">
        <v>157</v>
      </c>
      <c r="D27">
        <v>0.109</v>
      </c>
      <c r="E27">
        <v>0.5</v>
      </c>
      <c r="F27">
        <v>128</v>
      </c>
      <c r="G27">
        <v>1</v>
      </c>
      <c r="H27">
        <v>100</v>
      </c>
      <c r="I27">
        <v>9</v>
      </c>
      <c r="J27">
        <v>1</v>
      </c>
      <c r="K27">
        <v>0.1</v>
      </c>
    </row>
    <row r="28" spans="1:11">
      <c r="A28" t="s">
        <v>69</v>
      </c>
      <c r="B28" t="s">
        <v>158</v>
      </c>
      <c r="D28">
        <v>2E-3</v>
      </c>
      <c r="E28">
        <v>0.02</v>
      </c>
      <c r="F28">
        <v>170</v>
      </c>
      <c r="G28">
        <v>2</v>
      </c>
      <c r="H28">
        <v>10</v>
      </c>
      <c r="I28">
        <v>6</v>
      </c>
      <c r="J28">
        <v>0</v>
      </c>
      <c r="K28">
        <v>5</v>
      </c>
    </row>
    <row r="29" spans="1:11">
      <c r="A29" t="s">
        <v>69</v>
      </c>
      <c r="B29" t="s">
        <v>159</v>
      </c>
      <c r="C29" t="s">
        <v>157</v>
      </c>
      <c r="D29">
        <v>0.25</v>
      </c>
      <c r="E29">
        <v>0.5</v>
      </c>
      <c r="F29">
        <v>175</v>
      </c>
      <c r="G29">
        <v>1</v>
      </c>
      <c r="H29">
        <v>100</v>
      </c>
      <c r="I29">
        <v>9</v>
      </c>
      <c r="J29">
        <v>1</v>
      </c>
      <c r="K29">
        <v>0.1</v>
      </c>
    </row>
    <row r="30" spans="1:11">
      <c r="A30" t="s">
        <v>69</v>
      </c>
      <c r="B30" t="s">
        <v>160</v>
      </c>
      <c r="C30" t="s">
        <v>124</v>
      </c>
      <c r="F30">
        <v>100</v>
      </c>
      <c r="G30">
        <v>2</v>
      </c>
      <c r="I30">
        <v>9</v>
      </c>
      <c r="J30">
        <v>1</v>
      </c>
      <c r="K30">
        <v>0.03</v>
      </c>
    </row>
    <row r="31" spans="1:11">
      <c r="A31" t="s">
        <v>69</v>
      </c>
      <c r="B31" t="s">
        <v>160</v>
      </c>
      <c r="C31" t="s">
        <v>124</v>
      </c>
      <c r="F31">
        <v>150</v>
      </c>
      <c r="G31">
        <v>2</v>
      </c>
      <c r="I31">
        <v>9</v>
      </c>
      <c r="J31">
        <v>1</v>
      </c>
      <c r="K31">
        <v>0.03</v>
      </c>
    </row>
    <row r="32" spans="1:11">
      <c r="A32" t="s">
        <v>69</v>
      </c>
      <c r="B32" t="s">
        <v>160</v>
      </c>
      <c r="C32" t="s">
        <v>124</v>
      </c>
      <c r="F32">
        <v>300</v>
      </c>
      <c r="G32">
        <v>2</v>
      </c>
      <c r="I32">
        <v>9</v>
      </c>
      <c r="J32">
        <v>1</v>
      </c>
      <c r="K32">
        <v>0.03</v>
      </c>
    </row>
    <row r="33" spans="1:11">
      <c r="A33" t="s">
        <v>81</v>
      </c>
      <c r="B33" t="s">
        <v>161</v>
      </c>
      <c r="C33" t="s">
        <v>162</v>
      </c>
      <c r="D33">
        <v>4.0000000000000001E-3</v>
      </c>
      <c r="E33">
        <v>7.0000000000000001E-3</v>
      </c>
      <c r="F33">
        <v>120</v>
      </c>
      <c r="G33">
        <v>2</v>
      </c>
      <c r="H33">
        <v>100</v>
      </c>
      <c r="I33">
        <v>9</v>
      </c>
      <c r="J33">
        <v>0</v>
      </c>
      <c r="K33">
        <v>0.5</v>
      </c>
    </row>
    <row r="34" spans="1:11">
      <c r="A34" t="s">
        <v>81</v>
      </c>
      <c r="B34" t="s">
        <v>163</v>
      </c>
      <c r="C34" t="s">
        <v>162</v>
      </c>
      <c r="D34">
        <v>7.0000000000000001E-3</v>
      </c>
      <c r="E34">
        <v>7.5999999999999998E-2</v>
      </c>
      <c r="F34">
        <v>120</v>
      </c>
      <c r="G34">
        <v>2</v>
      </c>
      <c r="H34">
        <v>30</v>
      </c>
      <c r="I34">
        <v>9</v>
      </c>
      <c r="J34">
        <v>1</v>
      </c>
      <c r="K34">
        <v>0.5</v>
      </c>
    </row>
    <row r="35" spans="1:11">
      <c r="A35" t="s">
        <v>81</v>
      </c>
      <c r="B35" t="s">
        <v>164</v>
      </c>
      <c r="C35" t="s">
        <v>162</v>
      </c>
      <c r="D35">
        <v>2.5000000000000001E-2</v>
      </c>
      <c r="E35">
        <v>0.01</v>
      </c>
      <c r="F35">
        <v>120</v>
      </c>
      <c r="G35">
        <v>2</v>
      </c>
      <c r="H35">
        <v>100</v>
      </c>
      <c r="I35">
        <v>9</v>
      </c>
      <c r="J35">
        <v>0</v>
      </c>
      <c r="K35">
        <v>0.5</v>
      </c>
    </row>
    <row r="36" spans="1:11">
      <c r="A36" t="s">
        <v>81</v>
      </c>
      <c r="B36" t="s">
        <v>165</v>
      </c>
      <c r="C36" t="s">
        <v>162</v>
      </c>
      <c r="D36">
        <v>3.5000000000000003E-2</v>
      </c>
      <c r="E36">
        <v>0.315</v>
      </c>
      <c r="F36">
        <v>120</v>
      </c>
      <c r="G36">
        <v>2</v>
      </c>
      <c r="H36">
        <v>30</v>
      </c>
      <c r="I36">
        <v>9</v>
      </c>
      <c r="J36">
        <v>1</v>
      </c>
      <c r="K36">
        <v>0.5</v>
      </c>
    </row>
    <row r="37" spans="1:11">
      <c r="A37" t="s">
        <v>81</v>
      </c>
      <c r="B37" t="s">
        <v>166</v>
      </c>
      <c r="C37" t="s">
        <v>131</v>
      </c>
      <c r="D37">
        <v>3.5000000000000003E-2</v>
      </c>
      <c r="E37">
        <v>7.1999999999999995E-2</v>
      </c>
      <c r="F37">
        <v>120</v>
      </c>
      <c r="G37">
        <v>2</v>
      </c>
      <c r="H37">
        <v>200</v>
      </c>
      <c r="I37">
        <v>9</v>
      </c>
      <c r="J37">
        <v>0</v>
      </c>
      <c r="K37">
        <v>0.5</v>
      </c>
    </row>
    <row r="38" spans="1:11">
      <c r="A38" t="s">
        <v>84</v>
      </c>
      <c r="B38" t="s">
        <v>167</v>
      </c>
      <c r="C38" t="s">
        <v>127</v>
      </c>
      <c r="D38">
        <v>0.01</v>
      </c>
      <c r="E38">
        <v>0</v>
      </c>
      <c r="F38">
        <v>120</v>
      </c>
      <c r="G38">
        <v>1</v>
      </c>
      <c r="H38">
        <v>100</v>
      </c>
      <c r="I38">
        <v>9</v>
      </c>
      <c r="J38">
        <v>0</v>
      </c>
      <c r="K38">
        <v>5</v>
      </c>
    </row>
    <row r="39" spans="1:11">
      <c r="A39" t="s">
        <v>84</v>
      </c>
      <c r="B39" t="s">
        <v>168</v>
      </c>
      <c r="C39" t="s">
        <v>131</v>
      </c>
      <c r="D39">
        <v>3.5999999999999997E-2</v>
      </c>
      <c r="E39">
        <v>0</v>
      </c>
      <c r="F39">
        <v>48</v>
      </c>
      <c r="G39">
        <v>2</v>
      </c>
      <c r="H39">
        <v>100</v>
      </c>
      <c r="I39">
        <v>9</v>
      </c>
      <c r="J39">
        <v>0</v>
      </c>
      <c r="K3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"/>
  <sheetViews>
    <sheetView zoomScale="75" zoomScaleNormal="75" workbookViewId="0">
      <selection activeCell="D3" sqref="D3"/>
    </sheetView>
  </sheetViews>
  <sheetFormatPr defaultColWidth="8.85546875" defaultRowHeight="15"/>
  <cols>
    <col min="1" max="1" width="22.28515625" bestFit="1" customWidth="1"/>
    <col min="2" max="2" width="23" bestFit="1" customWidth="1"/>
    <col min="3" max="3" width="32.140625" bestFit="1" customWidth="1"/>
    <col min="4" max="4" width="28.85546875" bestFit="1" customWidth="1"/>
    <col min="5" max="5" width="9.42578125" bestFit="1" customWidth="1"/>
    <col min="6" max="6" width="11" bestFit="1" customWidth="1"/>
    <col min="7" max="7" width="12.28515625" bestFit="1" customWidth="1"/>
    <col min="8" max="8" width="23.140625" bestFit="1" customWidth="1"/>
    <col min="9" max="9" width="19.42578125" bestFit="1" customWidth="1"/>
    <col min="10" max="10" width="21.5703125" bestFit="1" customWidth="1"/>
    <col min="11" max="11" width="31.85546875" bestFit="1" customWidth="1"/>
    <col min="12" max="12" width="33.42578125" bestFit="1" customWidth="1"/>
  </cols>
  <sheetData>
    <row r="1" spans="1:12">
      <c r="A1" s="1" t="s">
        <v>0</v>
      </c>
      <c r="B1" s="1" t="s">
        <v>1</v>
      </c>
      <c r="C1" s="1" t="s">
        <v>115</v>
      </c>
      <c r="D1" s="1" t="s">
        <v>169</v>
      </c>
      <c r="E1" s="1" t="s">
        <v>2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</row>
    <row r="2" spans="1:12">
      <c r="A2" t="s">
        <v>8</v>
      </c>
      <c r="B2" t="s">
        <v>8</v>
      </c>
      <c r="C2" t="s">
        <v>8</v>
      </c>
      <c r="D2" t="s">
        <v>10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</row>
    <row r="3" spans="1:12">
      <c r="A3" t="s">
        <v>177</v>
      </c>
      <c r="B3" t="s">
        <v>178</v>
      </c>
      <c r="C3" t="s">
        <v>179</v>
      </c>
      <c r="D3" t="s">
        <v>180</v>
      </c>
      <c r="E3">
        <v>0.06</v>
      </c>
      <c r="F3">
        <v>0.8</v>
      </c>
      <c r="G3">
        <v>1</v>
      </c>
      <c r="H3">
        <v>6</v>
      </c>
    </row>
    <row r="4" spans="1:12">
      <c r="A4" t="s">
        <v>177</v>
      </c>
      <c r="B4" t="s">
        <v>181</v>
      </c>
      <c r="C4" t="s">
        <v>179</v>
      </c>
      <c r="D4" t="s">
        <v>180</v>
      </c>
      <c r="E4">
        <v>2.5000000000000001E-2</v>
      </c>
      <c r="F4">
        <v>0.5</v>
      </c>
      <c r="G4">
        <v>2</v>
      </c>
    </row>
    <row r="5" spans="1:12">
      <c r="A5" t="s">
        <v>182</v>
      </c>
      <c r="B5" t="s">
        <v>183</v>
      </c>
      <c r="C5" t="s">
        <v>184</v>
      </c>
      <c r="D5" t="s">
        <v>185</v>
      </c>
      <c r="E5">
        <v>4</v>
      </c>
      <c r="F5">
        <v>34</v>
      </c>
      <c r="G5">
        <v>3</v>
      </c>
      <c r="H5">
        <v>0.05</v>
      </c>
      <c r="I5">
        <v>0.01</v>
      </c>
      <c r="K5">
        <v>100</v>
      </c>
    </row>
    <row r="6" spans="1:12">
      <c r="A6" t="s">
        <v>182</v>
      </c>
      <c r="B6" t="s">
        <v>186</v>
      </c>
      <c r="C6" t="s">
        <v>184</v>
      </c>
      <c r="D6" t="s">
        <v>185</v>
      </c>
      <c r="E6">
        <v>0.9</v>
      </c>
      <c r="F6">
        <v>5</v>
      </c>
      <c r="G6">
        <v>3</v>
      </c>
      <c r="H6">
        <v>1</v>
      </c>
      <c r="I6">
        <v>0.125</v>
      </c>
      <c r="J6">
        <v>3</v>
      </c>
      <c r="K6">
        <v>1000</v>
      </c>
      <c r="L6">
        <v>0.65</v>
      </c>
    </row>
    <row r="7" spans="1:12">
      <c r="A7" t="s">
        <v>182</v>
      </c>
      <c r="B7" t="s">
        <v>187</v>
      </c>
      <c r="C7" t="s">
        <v>188</v>
      </c>
      <c r="D7" t="s">
        <v>180</v>
      </c>
      <c r="E7">
        <v>0.14499999999999999</v>
      </c>
      <c r="F7">
        <v>5.5</v>
      </c>
      <c r="G7">
        <v>3</v>
      </c>
      <c r="H7">
        <v>3</v>
      </c>
      <c r="I7">
        <v>0.2</v>
      </c>
    </row>
    <row r="8" spans="1:12">
      <c r="A8" t="s">
        <v>182</v>
      </c>
      <c r="B8" t="s">
        <v>189</v>
      </c>
      <c r="C8" t="s">
        <v>188</v>
      </c>
      <c r="D8" t="s">
        <v>180</v>
      </c>
      <c r="E8">
        <v>1.145</v>
      </c>
      <c r="F8">
        <v>5.5010000000000003</v>
      </c>
      <c r="G8">
        <v>4</v>
      </c>
      <c r="H8">
        <v>3.1</v>
      </c>
      <c r="I8">
        <v>0.2</v>
      </c>
    </row>
    <row r="9" spans="1:12">
      <c r="A9" t="s">
        <v>190</v>
      </c>
      <c r="B9" t="s">
        <v>191</v>
      </c>
      <c r="C9" t="s">
        <v>179</v>
      </c>
      <c r="D9" t="s">
        <v>192</v>
      </c>
      <c r="E9">
        <v>15.4</v>
      </c>
      <c r="F9">
        <v>40</v>
      </c>
      <c r="G9">
        <v>3</v>
      </c>
      <c r="H9">
        <v>0</v>
      </c>
      <c r="I9">
        <v>0.1</v>
      </c>
      <c r="J9">
        <v>0</v>
      </c>
    </row>
    <row r="10" spans="1:12">
      <c r="A10" t="s">
        <v>107</v>
      </c>
      <c r="B10" t="s">
        <v>193</v>
      </c>
      <c r="C10" t="s">
        <v>188</v>
      </c>
      <c r="D10" t="s">
        <v>194</v>
      </c>
      <c r="E10">
        <v>5.5E-2</v>
      </c>
      <c r="F10">
        <v>0.2</v>
      </c>
      <c r="G10">
        <v>3</v>
      </c>
      <c r="J10">
        <v>0</v>
      </c>
    </row>
    <row r="11" spans="1:12">
      <c r="A11" t="s">
        <v>195</v>
      </c>
      <c r="B11" t="s">
        <v>196</v>
      </c>
      <c r="C11" t="s">
        <v>184</v>
      </c>
      <c r="D11" t="s">
        <v>197</v>
      </c>
      <c r="E11">
        <v>0.748</v>
      </c>
      <c r="F11">
        <v>12</v>
      </c>
      <c r="G11">
        <v>3</v>
      </c>
      <c r="H11">
        <v>1</v>
      </c>
      <c r="I11">
        <v>7.0000000000000007E-2</v>
      </c>
      <c r="J11">
        <v>3</v>
      </c>
      <c r="K11">
        <v>300</v>
      </c>
    </row>
    <row r="12" spans="1:12">
      <c r="A12" t="s">
        <v>198</v>
      </c>
      <c r="B12" t="s">
        <v>199</v>
      </c>
      <c r="C12" t="s">
        <v>184</v>
      </c>
      <c r="D12" t="s">
        <v>180</v>
      </c>
      <c r="E12">
        <v>5.5E-2</v>
      </c>
      <c r="F12">
        <v>1.5</v>
      </c>
      <c r="G12">
        <v>3</v>
      </c>
      <c r="H12">
        <v>0.5</v>
      </c>
      <c r="I12">
        <v>0.15</v>
      </c>
      <c r="J12">
        <v>3</v>
      </c>
      <c r="K12">
        <v>50</v>
      </c>
      <c r="L12">
        <v>0.06</v>
      </c>
    </row>
    <row r="13" spans="1:12">
      <c r="A13" t="s">
        <v>200</v>
      </c>
      <c r="B13" t="s">
        <v>201</v>
      </c>
      <c r="C13" t="s">
        <v>188</v>
      </c>
      <c r="D13" t="s">
        <v>180</v>
      </c>
      <c r="E13">
        <v>5.5E-2</v>
      </c>
      <c r="F13">
        <v>1.5</v>
      </c>
      <c r="G13">
        <v>3</v>
      </c>
      <c r="H13">
        <v>0.4</v>
      </c>
      <c r="I13">
        <v>0.17</v>
      </c>
      <c r="J13">
        <v>0</v>
      </c>
    </row>
    <row r="14" spans="1:12">
      <c r="A14" t="s">
        <v>200</v>
      </c>
      <c r="B14" t="s">
        <v>202</v>
      </c>
      <c r="C14" t="s">
        <v>188</v>
      </c>
      <c r="D14" t="s">
        <v>180</v>
      </c>
      <c r="E14">
        <v>5.1999999999999998E-2</v>
      </c>
      <c r="F14">
        <v>1.5</v>
      </c>
      <c r="G14">
        <v>3</v>
      </c>
      <c r="H14">
        <v>0.3</v>
      </c>
      <c r="I14">
        <v>0.15</v>
      </c>
      <c r="J14">
        <v>0</v>
      </c>
    </row>
    <row r="15" spans="1:12">
      <c r="A15" t="s">
        <v>200</v>
      </c>
      <c r="B15" t="s">
        <v>203</v>
      </c>
      <c r="C15" t="s">
        <v>184</v>
      </c>
      <c r="D15" t="s">
        <v>180</v>
      </c>
      <c r="E15">
        <v>5.5E-2</v>
      </c>
      <c r="F15">
        <v>2</v>
      </c>
      <c r="G15">
        <v>3</v>
      </c>
      <c r="H15">
        <v>0.3</v>
      </c>
      <c r="I15">
        <v>0.15</v>
      </c>
      <c r="J15">
        <v>3</v>
      </c>
      <c r="K15">
        <v>50</v>
      </c>
      <c r="L15">
        <v>7.0000000000000007E-2</v>
      </c>
    </row>
    <row r="16" spans="1:12">
      <c r="A16" t="s">
        <v>200</v>
      </c>
      <c r="B16" t="s">
        <v>204</v>
      </c>
      <c r="C16" t="s">
        <v>184</v>
      </c>
      <c r="D16" t="s">
        <v>180</v>
      </c>
      <c r="E16">
        <v>5.7000000000000002E-2</v>
      </c>
      <c r="F16">
        <v>2.5</v>
      </c>
      <c r="G16">
        <v>3</v>
      </c>
      <c r="H16">
        <v>0.3</v>
      </c>
      <c r="I16">
        <v>0.15</v>
      </c>
      <c r="J16">
        <v>3</v>
      </c>
      <c r="K16">
        <v>3</v>
      </c>
      <c r="L16">
        <v>1.4999999999999999E-2</v>
      </c>
    </row>
    <row r="17" spans="1:12">
      <c r="A17" t="s">
        <v>200</v>
      </c>
      <c r="B17" t="s">
        <v>205</v>
      </c>
      <c r="C17" t="s">
        <v>184</v>
      </c>
      <c r="D17" t="s">
        <v>180</v>
      </c>
      <c r="E17">
        <v>5.7000000000000002E-2</v>
      </c>
      <c r="F17">
        <v>2.5</v>
      </c>
      <c r="G17">
        <v>3</v>
      </c>
      <c r="H17">
        <v>0.3</v>
      </c>
      <c r="I17">
        <v>0.1</v>
      </c>
      <c r="J17">
        <v>3</v>
      </c>
      <c r="K17">
        <v>3</v>
      </c>
      <c r="L17">
        <v>1.4999999999999999E-2</v>
      </c>
    </row>
    <row r="18" spans="1:12">
      <c r="A18" t="s">
        <v>200</v>
      </c>
      <c r="B18" t="s">
        <v>206</v>
      </c>
      <c r="C18" t="s">
        <v>188</v>
      </c>
      <c r="D18" t="s">
        <v>180</v>
      </c>
      <c r="E18">
        <v>5.1999999999999998E-2</v>
      </c>
      <c r="F18">
        <v>1.5</v>
      </c>
      <c r="G18">
        <v>3</v>
      </c>
      <c r="H18">
        <v>0.3</v>
      </c>
      <c r="I18">
        <v>0.15</v>
      </c>
      <c r="J18">
        <v>0</v>
      </c>
    </row>
    <row r="19" spans="1:12">
      <c r="A19" t="s">
        <v>200</v>
      </c>
      <c r="B19" t="s">
        <v>207</v>
      </c>
      <c r="C19" t="s">
        <v>184</v>
      </c>
      <c r="D19" t="s">
        <v>180</v>
      </c>
      <c r="E19">
        <v>5.5E-2</v>
      </c>
      <c r="F19">
        <v>2</v>
      </c>
      <c r="G19">
        <v>3</v>
      </c>
      <c r="H19">
        <v>0.3</v>
      </c>
      <c r="I19">
        <v>0.15</v>
      </c>
      <c r="J19">
        <v>3</v>
      </c>
      <c r="K19">
        <v>50</v>
      </c>
      <c r="L19">
        <v>7.0000000000000007E-2</v>
      </c>
    </row>
    <row r="20" spans="1:12">
      <c r="A20" t="s">
        <v>208</v>
      </c>
      <c r="B20" t="s">
        <v>209</v>
      </c>
      <c r="C20" t="s">
        <v>179</v>
      </c>
      <c r="D20" t="s">
        <v>180</v>
      </c>
      <c r="E20">
        <v>1.35</v>
      </c>
      <c r="F20">
        <v>0.8</v>
      </c>
      <c r="G20">
        <v>3</v>
      </c>
      <c r="H20">
        <v>0.06</v>
      </c>
      <c r="I20">
        <v>6.0000000000000001E-3</v>
      </c>
      <c r="J20">
        <v>0</v>
      </c>
    </row>
    <row r="21" spans="1:12">
      <c r="A21" t="s">
        <v>208</v>
      </c>
      <c r="B21" t="s">
        <v>210</v>
      </c>
      <c r="C21" t="s">
        <v>184</v>
      </c>
      <c r="D21" t="s">
        <v>180</v>
      </c>
      <c r="E21">
        <v>2</v>
      </c>
      <c r="F21">
        <v>1.5</v>
      </c>
      <c r="G21">
        <v>3</v>
      </c>
      <c r="H21">
        <v>0.1</v>
      </c>
      <c r="I21">
        <v>1.4999999999999999E-2</v>
      </c>
      <c r="J21">
        <v>3</v>
      </c>
      <c r="K21">
        <v>15</v>
      </c>
      <c r="L21">
        <v>0.05</v>
      </c>
    </row>
    <row r="22" spans="1:12">
      <c r="A22" t="s">
        <v>211</v>
      </c>
      <c r="B22" t="s">
        <v>212</v>
      </c>
      <c r="C22" t="s">
        <v>184</v>
      </c>
      <c r="D22" t="s">
        <v>180</v>
      </c>
      <c r="E22">
        <v>1.4999999999999999E-2</v>
      </c>
      <c r="F22">
        <v>0.22</v>
      </c>
      <c r="G22">
        <v>3</v>
      </c>
      <c r="H22">
        <v>10</v>
      </c>
      <c r="I22">
        <v>0.21</v>
      </c>
      <c r="J22">
        <v>3</v>
      </c>
      <c r="K22">
        <v>40</v>
      </c>
      <c r="L22">
        <v>8.2000000000000003E-2</v>
      </c>
    </row>
    <row r="23" spans="1:12">
      <c r="A23" t="s">
        <v>211</v>
      </c>
      <c r="B23" t="s">
        <v>213</v>
      </c>
      <c r="C23" t="s">
        <v>184</v>
      </c>
      <c r="D23" t="s">
        <v>180</v>
      </c>
      <c r="E23">
        <v>0.125</v>
      </c>
      <c r="F23">
        <v>2.5</v>
      </c>
      <c r="G23">
        <v>3</v>
      </c>
      <c r="H23">
        <v>1</v>
      </c>
      <c r="I23">
        <v>8.3299999999999999E-2</v>
      </c>
      <c r="J23">
        <v>3</v>
      </c>
      <c r="K23">
        <v>10</v>
      </c>
      <c r="L23">
        <v>2.4E-2</v>
      </c>
    </row>
    <row r="24" spans="1:12">
      <c r="A24" t="s">
        <v>208</v>
      </c>
      <c r="B24" t="s">
        <v>214</v>
      </c>
      <c r="C24" t="s">
        <v>179</v>
      </c>
      <c r="D24" t="s">
        <v>180</v>
      </c>
      <c r="E24">
        <v>0.42</v>
      </c>
      <c r="F24">
        <v>0.2</v>
      </c>
      <c r="G24">
        <v>1</v>
      </c>
      <c r="H24">
        <v>0.03</v>
      </c>
      <c r="I24">
        <v>5.0000000000000001E-3</v>
      </c>
      <c r="J24">
        <v>0</v>
      </c>
    </row>
    <row r="25" spans="1:12">
      <c r="A25" t="s">
        <v>208</v>
      </c>
      <c r="B25" t="s">
        <v>215</v>
      </c>
      <c r="C25" t="s">
        <v>179</v>
      </c>
      <c r="D25" t="s">
        <v>180</v>
      </c>
      <c r="E25">
        <v>0.18</v>
      </c>
      <c r="F25">
        <v>0.2</v>
      </c>
      <c r="G25">
        <v>1</v>
      </c>
      <c r="H25">
        <v>0.03</v>
      </c>
      <c r="I25">
        <v>5.0000000000000001E-3</v>
      </c>
      <c r="J25">
        <v>0</v>
      </c>
    </row>
    <row r="26" spans="1:12">
      <c r="A26" t="s">
        <v>208</v>
      </c>
      <c r="B26" t="s">
        <v>216</v>
      </c>
      <c r="C26" t="s">
        <v>179</v>
      </c>
      <c r="D26" t="s">
        <v>180</v>
      </c>
      <c r="E26">
        <v>0.42</v>
      </c>
      <c r="F26">
        <v>0.2</v>
      </c>
      <c r="G26">
        <v>1</v>
      </c>
      <c r="H26">
        <v>0.04</v>
      </c>
      <c r="I26">
        <v>6.0000000000000001E-3</v>
      </c>
      <c r="J26">
        <v>0</v>
      </c>
    </row>
    <row r="27" spans="1:12">
      <c r="A27" t="s">
        <v>208</v>
      </c>
      <c r="B27" t="s">
        <v>217</v>
      </c>
      <c r="C27" t="s">
        <v>179</v>
      </c>
      <c r="D27" t="s">
        <v>180</v>
      </c>
      <c r="E27">
        <v>0.18</v>
      </c>
      <c r="F27">
        <v>0.2</v>
      </c>
      <c r="G27">
        <v>1</v>
      </c>
      <c r="H27">
        <v>0.04</v>
      </c>
      <c r="I27">
        <v>6.0000000000000001E-3</v>
      </c>
      <c r="J27">
        <v>0</v>
      </c>
    </row>
    <row r="28" spans="1:12">
      <c r="A28" t="s">
        <v>208</v>
      </c>
      <c r="B28" t="s">
        <v>218</v>
      </c>
      <c r="C28" t="s">
        <v>179</v>
      </c>
      <c r="D28" t="s">
        <v>180</v>
      </c>
      <c r="E28">
        <v>0.42</v>
      </c>
      <c r="F28">
        <v>0.2</v>
      </c>
      <c r="G28">
        <v>1</v>
      </c>
      <c r="H28">
        <v>0.04</v>
      </c>
      <c r="I28">
        <v>6.0000000000000001E-3</v>
      </c>
      <c r="J28">
        <v>0</v>
      </c>
    </row>
    <row r="29" spans="1:12">
      <c r="A29" t="s">
        <v>208</v>
      </c>
      <c r="B29" t="s">
        <v>219</v>
      </c>
      <c r="C29" t="s">
        <v>179</v>
      </c>
      <c r="D29" t="s">
        <v>180</v>
      </c>
      <c r="E29">
        <v>0.18</v>
      </c>
      <c r="F29">
        <v>0.2</v>
      </c>
      <c r="G29">
        <v>1</v>
      </c>
      <c r="H29">
        <v>0.04</v>
      </c>
      <c r="I29">
        <v>6.0000000000000001E-3</v>
      </c>
      <c r="J29">
        <v>0</v>
      </c>
    </row>
    <row r="30" spans="1:12">
      <c r="A30" t="s">
        <v>208</v>
      </c>
      <c r="B30" t="s">
        <v>220</v>
      </c>
      <c r="C30" t="s">
        <v>179</v>
      </c>
      <c r="D30" t="s">
        <v>180</v>
      </c>
      <c r="E30">
        <v>0.42</v>
      </c>
      <c r="F30">
        <v>0.2</v>
      </c>
      <c r="G30">
        <v>1</v>
      </c>
      <c r="H30">
        <v>0.05</v>
      </c>
      <c r="I30">
        <v>8.0000000000000002E-3</v>
      </c>
      <c r="J30">
        <v>0</v>
      </c>
    </row>
    <row r="31" spans="1:12">
      <c r="A31" t="s">
        <v>208</v>
      </c>
      <c r="B31" t="s">
        <v>221</v>
      </c>
      <c r="C31" t="s">
        <v>179</v>
      </c>
      <c r="D31" t="s">
        <v>180</v>
      </c>
      <c r="E31">
        <v>0.18</v>
      </c>
      <c r="F31">
        <v>0.2</v>
      </c>
      <c r="G31">
        <v>1</v>
      </c>
      <c r="H31">
        <v>0.05</v>
      </c>
      <c r="I31">
        <v>8.0000000000000002E-3</v>
      </c>
      <c r="J31">
        <v>0</v>
      </c>
    </row>
    <row r="32" spans="1:12">
      <c r="A32" t="s">
        <v>208</v>
      </c>
      <c r="B32" t="s">
        <v>222</v>
      </c>
      <c r="C32" t="s">
        <v>179</v>
      </c>
      <c r="D32" t="s">
        <v>180</v>
      </c>
      <c r="E32">
        <v>0.42</v>
      </c>
      <c r="F32">
        <v>0.2</v>
      </c>
      <c r="G32">
        <v>1</v>
      </c>
      <c r="H32">
        <v>0.1</v>
      </c>
      <c r="I32">
        <v>0.01</v>
      </c>
      <c r="J32">
        <v>0</v>
      </c>
    </row>
    <row r="33" spans="1:11">
      <c r="A33" t="s">
        <v>208</v>
      </c>
      <c r="B33" t="s">
        <v>223</v>
      </c>
      <c r="C33" t="s">
        <v>179</v>
      </c>
      <c r="D33" t="s">
        <v>180</v>
      </c>
      <c r="E33">
        <v>0.18</v>
      </c>
      <c r="F33">
        <v>0.2</v>
      </c>
      <c r="G33">
        <v>1</v>
      </c>
      <c r="H33">
        <v>0.1</v>
      </c>
      <c r="I33">
        <v>0.01</v>
      </c>
      <c r="J33">
        <v>0</v>
      </c>
    </row>
    <row r="34" spans="1:11">
      <c r="A34" t="s">
        <v>208</v>
      </c>
      <c r="B34" t="s">
        <v>224</v>
      </c>
      <c r="C34" t="s">
        <v>225</v>
      </c>
      <c r="D34" t="s">
        <v>180</v>
      </c>
      <c r="E34">
        <v>4.0000000000000001E-3</v>
      </c>
      <c r="G34">
        <v>0</v>
      </c>
      <c r="J34">
        <v>2</v>
      </c>
      <c r="K34">
        <v>7.5</v>
      </c>
    </row>
    <row r="35" spans="1:11">
      <c r="A35" t="s">
        <v>208</v>
      </c>
      <c r="B35" t="s">
        <v>226</v>
      </c>
      <c r="C35" t="s">
        <v>225</v>
      </c>
      <c r="D35" t="s">
        <v>180</v>
      </c>
      <c r="E35">
        <v>4.0000000000000001E-3</v>
      </c>
      <c r="G35">
        <v>0</v>
      </c>
      <c r="J35">
        <v>2</v>
      </c>
      <c r="K35">
        <v>7.5</v>
      </c>
    </row>
    <row r="36" spans="1:11">
      <c r="A36" t="s">
        <v>208</v>
      </c>
      <c r="B36" t="s">
        <v>227</v>
      </c>
      <c r="C36" t="s">
        <v>225</v>
      </c>
      <c r="D36" t="s">
        <v>180</v>
      </c>
      <c r="E36">
        <v>4.0000000000000001E-3</v>
      </c>
      <c r="G36">
        <v>0</v>
      </c>
      <c r="J36">
        <v>2</v>
      </c>
      <c r="K36">
        <v>7.5</v>
      </c>
    </row>
    <row r="37" spans="1:11">
      <c r="A37" t="s">
        <v>208</v>
      </c>
      <c r="B37" t="s">
        <v>228</v>
      </c>
      <c r="C37" t="s">
        <v>225</v>
      </c>
      <c r="D37" t="s">
        <v>180</v>
      </c>
      <c r="E37">
        <v>4.0000000000000001E-3</v>
      </c>
      <c r="G37">
        <v>0</v>
      </c>
      <c r="J37">
        <v>2</v>
      </c>
      <c r="K37">
        <v>25</v>
      </c>
    </row>
    <row r="38" spans="1:11">
      <c r="A38" t="s">
        <v>208</v>
      </c>
      <c r="B38" t="s">
        <v>229</v>
      </c>
      <c r="C38" t="s">
        <v>225</v>
      </c>
      <c r="D38" t="s">
        <v>180</v>
      </c>
      <c r="E38">
        <v>4.0000000000000001E-3</v>
      </c>
      <c r="G38">
        <v>0</v>
      </c>
      <c r="J38">
        <v>2</v>
      </c>
      <c r="K38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topLeftCell="B1" workbookViewId="0">
      <selection activeCell="G8" sqref="G8"/>
    </sheetView>
  </sheetViews>
  <sheetFormatPr defaultColWidth="8.85546875" defaultRowHeight="15"/>
  <cols>
    <col min="1" max="1" width="18.42578125" bestFit="1" customWidth="1"/>
    <col min="2" max="2" width="34.7109375" bestFit="1" customWidth="1"/>
    <col min="3" max="3" width="16.85546875" bestFit="1" customWidth="1"/>
    <col min="4" max="4" width="9.42578125" bestFit="1" customWidth="1"/>
    <col min="5" max="5" width="10.5703125" bestFit="1" customWidth="1"/>
    <col min="6" max="6" width="22.42578125" bestFit="1" customWidth="1"/>
    <col min="7" max="7" width="19.42578125" bestFit="1" customWidth="1"/>
    <col min="8" max="8" width="8" bestFit="1" customWidth="1"/>
  </cols>
  <sheetData>
    <row r="1" spans="1:8">
      <c r="A1" s="1" t="s">
        <v>0</v>
      </c>
      <c r="B1" s="1" t="s">
        <v>1</v>
      </c>
      <c r="C1" s="1" t="s">
        <v>230</v>
      </c>
      <c r="D1" s="1" t="s">
        <v>2</v>
      </c>
      <c r="E1" s="1" t="s">
        <v>32</v>
      </c>
      <c r="F1" s="1" t="s">
        <v>231</v>
      </c>
      <c r="G1" s="1" t="s">
        <v>100</v>
      </c>
      <c r="H1" s="1" t="s">
        <v>119</v>
      </c>
    </row>
    <row r="2" spans="1:8">
      <c r="A2" t="s">
        <v>8</v>
      </c>
      <c r="B2" t="s">
        <v>8</v>
      </c>
      <c r="C2" t="s">
        <v>37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232</v>
      </c>
      <c r="B3" t="s">
        <v>233</v>
      </c>
      <c r="C3" t="s">
        <v>234</v>
      </c>
      <c r="D3">
        <v>2</v>
      </c>
      <c r="E3">
        <v>6.5</v>
      </c>
      <c r="F3">
        <v>57.518520000000002</v>
      </c>
      <c r="G3">
        <v>50</v>
      </c>
      <c r="H3">
        <v>9</v>
      </c>
    </row>
    <row r="4" spans="1:8">
      <c r="A4" t="s">
        <v>235</v>
      </c>
      <c r="B4" t="s">
        <v>236</v>
      </c>
      <c r="C4" t="s">
        <v>237</v>
      </c>
      <c r="D4">
        <v>1.6E-2</v>
      </c>
      <c r="E4">
        <v>1.5</v>
      </c>
      <c r="F4">
        <v>55</v>
      </c>
      <c r="G4">
        <v>39</v>
      </c>
      <c r="H4">
        <v>9</v>
      </c>
    </row>
    <row r="5" spans="1:8">
      <c r="A5" t="s">
        <v>235</v>
      </c>
      <c r="B5" t="s">
        <v>238</v>
      </c>
      <c r="C5" t="s">
        <v>239</v>
      </c>
      <c r="E5">
        <v>5.6000000000000001E-2</v>
      </c>
      <c r="F5">
        <v>80</v>
      </c>
      <c r="G5">
        <v>37</v>
      </c>
    </row>
    <row r="6" spans="1:8">
      <c r="A6" t="s">
        <v>240</v>
      </c>
      <c r="B6" t="s">
        <v>241</v>
      </c>
      <c r="C6" t="s">
        <v>242</v>
      </c>
      <c r="D6">
        <v>3.5000000000000003E-2</v>
      </c>
      <c r="E6">
        <v>0.12</v>
      </c>
      <c r="F6">
        <v>10</v>
      </c>
      <c r="G6">
        <v>20</v>
      </c>
      <c r="H6">
        <v>6</v>
      </c>
    </row>
    <row r="7" spans="1:8">
      <c r="A7" t="s">
        <v>243</v>
      </c>
      <c r="B7" t="s">
        <v>244</v>
      </c>
      <c r="C7" t="s">
        <v>245</v>
      </c>
      <c r="D7">
        <v>0.22</v>
      </c>
      <c r="E7">
        <v>4.5</v>
      </c>
      <c r="F7">
        <v>10</v>
      </c>
      <c r="G7">
        <v>100</v>
      </c>
    </row>
    <row r="8" spans="1:8">
      <c r="A8" t="s">
        <v>243</v>
      </c>
      <c r="B8" t="s">
        <v>246</v>
      </c>
      <c r="C8" t="s">
        <v>247</v>
      </c>
      <c r="D8">
        <v>0.08</v>
      </c>
      <c r="E8">
        <v>0.4</v>
      </c>
      <c r="F8">
        <v>10</v>
      </c>
      <c r="G8">
        <v>25</v>
      </c>
    </row>
    <row r="9" spans="1:8">
      <c r="A9" t="s">
        <v>243</v>
      </c>
      <c r="B9" t="s">
        <v>248</v>
      </c>
      <c r="C9" t="s">
        <v>249</v>
      </c>
      <c r="D9">
        <v>0.45</v>
      </c>
      <c r="E9">
        <v>12</v>
      </c>
      <c r="F9">
        <v>10</v>
      </c>
    </row>
    <row r="10" spans="1:8">
      <c r="A10" t="s">
        <v>243</v>
      </c>
      <c r="B10" t="s">
        <v>248</v>
      </c>
      <c r="C10" t="s">
        <v>249</v>
      </c>
      <c r="D10">
        <v>0.45</v>
      </c>
      <c r="E10">
        <v>12</v>
      </c>
      <c r="F10">
        <v>60</v>
      </c>
    </row>
    <row r="11" spans="1:8">
      <c r="A11" t="s">
        <v>243</v>
      </c>
      <c r="B11" t="s">
        <v>250</v>
      </c>
      <c r="C11" t="s">
        <v>251</v>
      </c>
      <c r="D11">
        <v>0.1</v>
      </c>
      <c r="E11">
        <v>2</v>
      </c>
      <c r="F11">
        <v>22.5</v>
      </c>
      <c r="G11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7"/>
  <sheetViews>
    <sheetView topLeftCell="A31" workbookViewId="0"/>
  </sheetViews>
  <sheetFormatPr defaultColWidth="8.85546875" defaultRowHeight="15"/>
  <sheetData>
    <row r="1" spans="1:8">
      <c r="A1" s="1" t="s">
        <v>0</v>
      </c>
      <c r="B1" s="1" t="s">
        <v>1</v>
      </c>
      <c r="C1" s="1" t="s">
        <v>2</v>
      </c>
      <c r="D1" s="1" t="s">
        <v>116</v>
      </c>
      <c r="E1" s="1" t="s">
        <v>252</v>
      </c>
      <c r="F1" s="1" t="s">
        <v>253</v>
      </c>
      <c r="G1" s="1" t="s">
        <v>254</v>
      </c>
      <c r="H1" s="1" t="s">
        <v>36</v>
      </c>
    </row>
    <row r="2" spans="1:8">
      <c r="A2" t="s">
        <v>8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12</v>
      </c>
      <c r="B3" t="s">
        <v>255</v>
      </c>
      <c r="C3">
        <v>0.48</v>
      </c>
      <c r="D3">
        <v>0.8</v>
      </c>
      <c r="E3">
        <v>1E-4</v>
      </c>
      <c r="F3">
        <v>6.0000000000000001E-3</v>
      </c>
      <c r="G3">
        <v>1</v>
      </c>
      <c r="H3">
        <v>36</v>
      </c>
    </row>
    <row r="4" spans="1:8">
      <c r="A4" t="s">
        <v>12</v>
      </c>
      <c r="B4" t="s">
        <v>256</v>
      </c>
      <c r="C4">
        <v>0.375</v>
      </c>
      <c r="D4">
        <v>15</v>
      </c>
      <c r="E4">
        <v>8.0000000000000002E-3</v>
      </c>
      <c r="F4">
        <v>0.05</v>
      </c>
      <c r="G4">
        <v>1</v>
      </c>
      <c r="H4">
        <v>36</v>
      </c>
    </row>
    <row r="5" spans="1:8">
      <c r="A5" t="s">
        <v>12</v>
      </c>
      <c r="B5" t="s">
        <v>257</v>
      </c>
      <c r="C5">
        <v>1.5</v>
      </c>
      <c r="D5">
        <v>24</v>
      </c>
      <c r="E5">
        <v>47.1</v>
      </c>
      <c r="F5">
        <v>1.2</v>
      </c>
      <c r="G5">
        <v>1</v>
      </c>
    </row>
    <row r="6" spans="1:8">
      <c r="A6" t="s">
        <v>258</v>
      </c>
      <c r="B6" t="s">
        <v>259</v>
      </c>
      <c r="C6">
        <v>2.5000000000000001E-2</v>
      </c>
      <c r="D6">
        <v>0.375</v>
      </c>
      <c r="E6">
        <v>2.3E-5</v>
      </c>
      <c r="F6">
        <v>5.8E-4</v>
      </c>
      <c r="G6">
        <v>1</v>
      </c>
    </row>
    <row r="7" spans="1:8">
      <c r="A7" t="s">
        <v>258</v>
      </c>
      <c r="B7" t="s">
        <v>260</v>
      </c>
      <c r="C7">
        <v>1.2E-2</v>
      </c>
      <c r="D7">
        <v>0.3</v>
      </c>
      <c r="E7">
        <v>3.9999999999999998E-6</v>
      </c>
      <c r="F7">
        <v>1E-4</v>
      </c>
      <c r="G7">
        <v>1</v>
      </c>
    </row>
    <row r="8" spans="1:8">
      <c r="A8" t="s">
        <v>258</v>
      </c>
      <c r="B8" t="s">
        <v>261</v>
      </c>
      <c r="C8">
        <v>0.2</v>
      </c>
      <c r="D8">
        <v>2.8</v>
      </c>
      <c r="E8">
        <v>2E-3</v>
      </c>
      <c r="F8">
        <v>0.03</v>
      </c>
      <c r="G8">
        <v>1</v>
      </c>
    </row>
    <row r="9" spans="1:8">
      <c r="A9" t="s">
        <v>258</v>
      </c>
      <c r="B9" t="s">
        <v>262</v>
      </c>
      <c r="C9">
        <v>0.5</v>
      </c>
      <c r="D9">
        <v>9</v>
      </c>
      <c r="E9">
        <v>5.0000000000000001E-3</v>
      </c>
      <c r="F9">
        <v>0.1</v>
      </c>
      <c r="G9">
        <v>1</v>
      </c>
      <c r="H9">
        <v>20</v>
      </c>
    </row>
    <row r="10" spans="1:8">
      <c r="A10" t="s">
        <v>258</v>
      </c>
      <c r="B10" t="s">
        <v>263</v>
      </c>
      <c r="C10">
        <v>0.9</v>
      </c>
      <c r="D10">
        <v>16.5</v>
      </c>
      <c r="E10">
        <v>1.4999999999999999E-2</v>
      </c>
      <c r="F10">
        <v>0.35</v>
      </c>
      <c r="G10">
        <v>1</v>
      </c>
      <c r="H10">
        <v>20</v>
      </c>
    </row>
    <row r="11" spans="1:8">
      <c r="A11" t="s">
        <v>258</v>
      </c>
      <c r="B11" t="s">
        <v>264</v>
      </c>
      <c r="C11">
        <v>0.8</v>
      </c>
      <c r="D11">
        <v>25</v>
      </c>
      <c r="E11">
        <v>0.02</v>
      </c>
      <c r="F11">
        <v>0.4</v>
      </c>
      <c r="G11">
        <v>1</v>
      </c>
      <c r="H11">
        <v>20</v>
      </c>
    </row>
    <row r="12" spans="1:8">
      <c r="A12" t="s">
        <v>258</v>
      </c>
      <c r="B12" t="s">
        <v>265</v>
      </c>
      <c r="C12">
        <v>1.3</v>
      </c>
      <c r="D12">
        <v>42</v>
      </c>
      <c r="E12">
        <v>0.03</v>
      </c>
      <c r="F12">
        <v>1</v>
      </c>
      <c r="G12">
        <v>1</v>
      </c>
      <c r="H12">
        <v>20</v>
      </c>
    </row>
    <row r="13" spans="1:8">
      <c r="A13" t="s">
        <v>258</v>
      </c>
      <c r="B13" t="s">
        <v>266</v>
      </c>
      <c r="C13">
        <v>1.5</v>
      </c>
      <c r="D13">
        <v>120</v>
      </c>
      <c r="E13">
        <v>0.1</v>
      </c>
      <c r="F13">
        <v>1</v>
      </c>
      <c r="G13">
        <v>1</v>
      </c>
      <c r="H13">
        <v>20</v>
      </c>
    </row>
    <row r="14" spans="1:8">
      <c r="A14" t="s">
        <v>258</v>
      </c>
      <c r="B14" t="s">
        <v>267</v>
      </c>
      <c r="C14">
        <v>2.75</v>
      </c>
      <c r="D14">
        <v>100</v>
      </c>
      <c r="E14">
        <v>0.1</v>
      </c>
      <c r="F14">
        <v>4</v>
      </c>
      <c r="G14">
        <v>1</v>
      </c>
      <c r="H14">
        <v>20</v>
      </c>
    </row>
    <row r="15" spans="1:8">
      <c r="A15" t="s">
        <v>258</v>
      </c>
      <c r="B15" t="s">
        <v>268</v>
      </c>
      <c r="C15">
        <v>2.75</v>
      </c>
      <c r="D15">
        <v>200</v>
      </c>
      <c r="E15">
        <v>0.3</v>
      </c>
      <c r="F15">
        <v>4</v>
      </c>
      <c r="G15">
        <v>1</v>
      </c>
      <c r="H15">
        <v>20</v>
      </c>
    </row>
    <row r="16" spans="1:8">
      <c r="A16" t="s">
        <v>19</v>
      </c>
      <c r="B16" t="s">
        <v>269</v>
      </c>
      <c r="C16">
        <v>1.7</v>
      </c>
      <c r="D16">
        <v>23.5</v>
      </c>
      <c r="E16">
        <v>1.6E-2</v>
      </c>
      <c r="F16">
        <v>0.5</v>
      </c>
      <c r="G16">
        <v>1</v>
      </c>
      <c r="H16">
        <v>30</v>
      </c>
    </row>
    <row r="17" spans="1:8">
      <c r="A17" t="s">
        <v>22</v>
      </c>
      <c r="B17" t="s">
        <v>270</v>
      </c>
      <c r="C17">
        <v>0.13</v>
      </c>
      <c r="D17">
        <v>1</v>
      </c>
      <c r="E17">
        <v>4.0000000000000001E-3</v>
      </c>
      <c r="F17">
        <v>1.4999999999999999E-2</v>
      </c>
      <c r="G17">
        <v>1</v>
      </c>
    </row>
    <row r="18" spans="1:8">
      <c r="A18" t="s">
        <v>22</v>
      </c>
      <c r="B18" t="s">
        <v>271</v>
      </c>
      <c r="C18">
        <v>0.24</v>
      </c>
      <c r="D18">
        <v>1</v>
      </c>
      <c r="E18">
        <v>7.0000000000000001E-3</v>
      </c>
      <c r="F18">
        <v>0.05</v>
      </c>
      <c r="G18">
        <v>1</v>
      </c>
    </row>
    <row r="19" spans="1:8">
      <c r="A19" t="s">
        <v>22</v>
      </c>
      <c r="B19" t="s">
        <v>272</v>
      </c>
      <c r="C19">
        <v>0.33</v>
      </c>
      <c r="D19">
        <v>1</v>
      </c>
      <c r="E19">
        <v>7.0000000000000001E-3</v>
      </c>
      <c r="F19">
        <v>0.1</v>
      </c>
      <c r="G19">
        <v>1</v>
      </c>
    </row>
    <row r="20" spans="1:8">
      <c r="A20" t="s">
        <v>22</v>
      </c>
      <c r="B20" t="s">
        <v>273</v>
      </c>
      <c r="C20">
        <v>0.75</v>
      </c>
      <c r="D20">
        <v>6</v>
      </c>
      <c r="E20">
        <v>2.5000000000000001E-2</v>
      </c>
      <c r="F20">
        <v>0.5</v>
      </c>
      <c r="G20">
        <v>1</v>
      </c>
    </row>
    <row r="21" spans="1:8">
      <c r="A21" t="s">
        <v>22</v>
      </c>
      <c r="B21" t="s">
        <v>274</v>
      </c>
      <c r="C21">
        <v>0.95</v>
      </c>
      <c r="D21">
        <v>10</v>
      </c>
      <c r="E21">
        <v>7.0000000000000007E-2</v>
      </c>
      <c r="F21">
        <v>1</v>
      </c>
      <c r="G21">
        <v>1</v>
      </c>
    </row>
    <row r="22" spans="1:8">
      <c r="A22" t="s">
        <v>22</v>
      </c>
      <c r="B22" t="s">
        <v>275</v>
      </c>
      <c r="C22">
        <v>3.2</v>
      </c>
      <c r="D22">
        <v>10</v>
      </c>
      <c r="E22">
        <v>0.25</v>
      </c>
      <c r="F22">
        <v>4</v>
      </c>
      <c r="G22">
        <v>1</v>
      </c>
    </row>
    <row r="23" spans="1:8">
      <c r="A23" t="s">
        <v>22</v>
      </c>
      <c r="B23" t="s">
        <v>276</v>
      </c>
      <c r="C23">
        <v>4.4000000000000004</v>
      </c>
      <c r="D23">
        <v>10</v>
      </c>
      <c r="E23">
        <v>0.25</v>
      </c>
      <c r="F23">
        <v>8</v>
      </c>
      <c r="G23">
        <v>1</v>
      </c>
    </row>
    <row r="24" spans="1:8">
      <c r="A24" t="s">
        <v>277</v>
      </c>
      <c r="B24" t="s">
        <v>278</v>
      </c>
      <c r="C24">
        <v>0.18</v>
      </c>
      <c r="D24">
        <v>1</v>
      </c>
      <c r="E24">
        <v>2E-3</v>
      </c>
      <c r="F24">
        <v>0.02</v>
      </c>
      <c r="G24">
        <v>1</v>
      </c>
      <c r="H24">
        <v>20</v>
      </c>
    </row>
    <row r="25" spans="1:8">
      <c r="A25" t="s">
        <v>277</v>
      </c>
      <c r="B25" t="s">
        <v>279</v>
      </c>
      <c r="C25">
        <v>0.23</v>
      </c>
      <c r="D25">
        <v>1</v>
      </c>
      <c r="E25">
        <v>4.0000000000000001E-3</v>
      </c>
      <c r="F25">
        <v>0.04</v>
      </c>
      <c r="G25">
        <v>1</v>
      </c>
      <c r="H25">
        <v>20</v>
      </c>
    </row>
    <row r="26" spans="1:8">
      <c r="A26" t="s">
        <v>277</v>
      </c>
      <c r="B26" t="s">
        <v>280</v>
      </c>
      <c r="C26">
        <v>0.27500000000000002</v>
      </c>
      <c r="D26">
        <v>1</v>
      </c>
      <c r="E26">
        <v>6.0000000000000001E-3</v>
      </c>
      <c r="F26">
        <v>0.06</v>
      </c>
      <c r="G26">
        <v>1</v>
      </c>
      <c r="H26">
        <v>20</v>
      </c>
    </row>
    <row r="27" spans="1:8">
      <c r="A27" t="s">
        <v>29</v>
      </c>
      <c r="B27" t="s">
        <v>281</v>
      </c>
      <c r="C27">
        <v>0.06</v>
      </c>
      <c r="D27">
        <v>0.85</v>
      </c>
      <c r="E27">
        <v>0.23</v>
      </c>
      <c r="F27">
        <v>1.6999999999999999E-3</v>
      </c>
      <c r="G27">
        <v>4</v>
      </c>
      <c r="H27">
        <v>24</v>
      </c>
    </row>
    <row r="28" spans="1:8">
      <c r="A28" t="s">
        <v>29</v>
      </c>
      <c r="B28" t="s">
        <v>282</v>
      </c>
      <c r="C28">
        <v>0.115</v>
      </c>
      <c r="D28">
        <v>2.7</v>
      </c>
      <c r="E28">
        <v>2</v>
      </c>
      <c r="F28">
        <v>5.7000000000000002E-3</v>
      </c>
      <c r="G28">
        <v>4</v>
      </c>
      <c r="H28">
        <v>24</v>
      </c>
    </row>
    <row r="29" spans="1:8">
      <c r="A29" t="s">
        <v>29</v>
      </c>
      <c r="B29" t="s">
        <v>283</v>
      </c>
      <c r="C29">
        <v>0.14399999999999999</v>
      </c>
      <c r="D29">
        <v>7.2</v>
      </c>
      <c r="E29">
        <v>7</v>
      </c>
      <c r="F29">
        <v>1.6199999999999999E-2</v>
      </c>
      <c r="G29">
        <v>4</v>
      </c>
      <c r="H29">
        <v>24</v>
      </c>
    </row>
    <row r="30" spans="1:8">
      <c r="A30" t="s">
        <v>29</v>
      </c>
      <c r="B30" t="s">
        <v>284</v>
      </c>
      <c r="C30">
        <v>0.31</v>
      </c>
      <c r="D30">
        <v>15</v>
      </c>
      <c r="E30">
        <v>16</v>
      </c>
      <c r="F30">
        <v>0.05</v>
      </c>
      <c r="G30">
        <v>4</v>
      </c>
      <c r="H30">
        <v>24</v>
      </c>
    </row>
    <row r="31" spans="1:8">
      <c r="A31" t="s">
        <v>29</v>
      </c>
      <c r="B31" t="s">
        <v>285</v>
      </c>
      <c r="C31">
        <v>0.45</v>
      </c>
      <c r="D31">
        <v>32</v>
      </c>
      <c r="E31">
        <v>20</v>
      </c>
      <c r="F31">
        <v>0.12</v>
      </c>
      <c r="G31">
        <v>4</v>
      </c>
      <c r="H31">
        <v>24</v>
      </c>
    </row>
    <row r="32" spans="1:8">
      <c r="A32" t="s">
        <v>29</v>
      </c>
      <c r="B32" t="s">
        <v>286</v>
      </c>
      <c r="C32">
        <v>0.75</v>
      </c>
      <c r="D32">
        <v>33</v>
      </c>
      <c r="E32">
        <v>27</v>
      </c>
      <c r="F32">
        <v>0.25</v>
      </c>
      <c r="G32">
        <v>4</v>
      </c>
      <c r="H32">
        <v>24</v>
      </c>
    </row>
    <row r="33" spans="1:8">
      <c r="A33" t="s">
        <v>29</v>
      </c>
      <c r="B33" t="s">
        <v>287</v>
      </c>
      <c r="C33">
        <v>1.0840000000000001</v>
      </c>
      <c r="D33">
        <v>48</v>
      </c>
      <c r="E33">
        <v>37</v>
      </c>
      <c r="F33">
        <v>0.5</v>
      </c>
      <c r="G33">
        <v>4</v>
      </c>
      <c r="H33">
        <v>24</v>
      </c>
    </row>
    <row r="34" spans="1:8">
      <c r="A34" t="s">
        <v>29</v>
      </c>
      <c r="B34" t="s">
        <v>288</v>
      </c>
      <c r="C34">
        <v>2.1</v>
      </c>
      <c r="D34">
        <v>50</v>
      </c>
      <c r="E34">
        <v>37</v>
      </c>
      <c r="F34">
        <v>1</v>
      </c>
      <c r="G34">
        <v>4</v>
      </c>
      <c r="H34">
        <v>24</v>
      </c>
    </row>
    <row r="35" spans="1:8">
      <c r="A35" t="s">
        <v>29</v>
      </c>
      <c r="B35" t="s">
        <v>289</v>
      </c>
      <c r="C35">
        <v>2.2000000000000002</v>
      </c>
      <c r="D35">
        <v>85</v>
      </c>
      <c r="E35">
        <v>37</v>
      </c>
      <c r="F35">
        <v>4</v>
      </c>
      <c r="G35">
        <v>4</v>
      </c>
      <c r="H35">
        <v>24</v>
      </c>
    </row>
    <row r="36" spans="1:8">
      <c r="A36" t="s">
        <v>290</v>
      </c>
      <c r="B36" t="s">
        <v>291</v>
      </c>
      <c r="C36">
        <v>0.94</v>
      </c>
      <c r="D36">
        <v>0.3</v>
      </c>
      <c r="E36">
        <v>1.5E-3</v>
      </c>
      <c r="F36">
        <v>1.9E-2</v>
      </c>
      <c r="G36">
        <v>1</v>
      </c>
    </row>
    <row r="37" spans="1:8">
      <c r="A37" t="s">
        <v>66</v>
      </c>
      <c r="B37" t="s">
        <v>292</v>
      </c>
      <c r="C37">
        <v>0.13700000000000001</v>
      </c>
      <c r="D37">
        <v>3.25</v>
      </c>
      <c r="E37">
        <v>3.2000000000000002E-3</v>
      </c>
      <c r="F37">
        <v>0.02</v>
      </c>
      <c r="G37">
        <v>1</v>
      </c>
      <c r="H37">
        <v>20</v>
      </c>
    </row>
    <row r="38" spans="1:8">
      <c r="A38" t="s">
        <v>66</v>
      </c>
      <c r="B38" t="s">
        <v>293</v>
      </c>
      <c r="C38">
        <v>0.66500000000000004</v>
      </c>
      <c r="D38">
        <v>6</v>
      </c>
      <c r="E38">
        <v>5.8999999999999999E-3</v>
      </c>
      <c r="F38">
        <v>3.6999999999999998E-2</v>
      </c>
      <c r="G38">
        <v>4</v>
      </c>
      <c r="H38">
        <v>20</v>
      </c>
    </row>
    <row r="39" spans="1:8">
      <c r="A39" t="s">
        <v>107</v>
      </c>
      <c r="B39" t="s">
        <v>294</v>
      </c>
      <c r="C39">
        <v>5</v>
      </c>
      <c r="D39">
        <v>136</v>
      </c>
      <c r="E39">
        <v>0.3</v>
      </c>
      <c r="F39">
        <v>7.8300000000000002E-3</v>
      </c>
      <c r="G39">
        <v>1</v>
      </c>
      <c r="H39">
        <v>20</v>
      </c>
    </row>
    <row r="40" spans="1:8">
      <c r="A40" t="s">
        <v>107</v>
      </c>
      <c r="B40" t="s">
        <v>295</v>
      </c>
      <c r="C40">
        <v>1.55</v>
      </c>
      <c r="D40">
        <v>1.7</v>
      </c>
      <c r="E40">
        <v>0.02</v>
      </c>
      <c r="F40">
        <v>9.3999999999999997E-4</v>
      </c>
      <c r="G40">
        <v>1</v>
      </c>
      <c r="H40">
        <v>10</v>
      </c>
    </row>
    <row r="41" spans="1:8">
      <c r="A41" t="s">
        <v>107</v>
      </c>
      <c r="B41" t="s">
        <v>296</v>
      </c>
      <c r="C41">
        <v>2.8</v>
      </c>
      <c r="D41">
        <v>0.4</v>
      </c>
      <c r="E41">
        <v>0.09</v>
      </c>
      <c r="F41">
        <v>1.6299999999999999E-3</v>
      </c>
      <c r="G41">
        <v>1</v>
      </c>
      <c r="H41">
        <v>10</v>
      </c>
    </row>
    <row r="42" spans="1:8">
      <c r="A42" t="s">
        <v>72</v>
      </c>
      <c r="B42" t="s">
        <v>297</v>
      </c>
      <c r="C42">
        <v>0.185</v>
      </c>
      <c r="D42">
        <v>1.8</v>
      </c>
      <c r="E42">
        <v>2E-3</v>
      </c>
      <c r="F42">
        <v>0.04</v>
      </c>
      <c r="G42">
        <v>1</v>
      </c>
      <c r="H42">
        <v>20</v>
      </c>
    </row>
    <row r="43" spans="1:8">
      <c r="A43" t="s">
        <v>72</v>
      </c>
      <c r="B43" t="s">
        <v>298</v>
      </c>
      <c r="C43">
        <v>4.8000000000000001E-2</v>
      </c>
      <c r="E43">
        <v>1E-3</v>
      </c>
      <c r="F43">
        <v>5.0000000000000001E-3</v>
      </c>
      <c r="G43">
        <v>1</v>
      </c>
      <c r="H43">
        <v>10</v>
      </c>
    </row>
    <row r="44" spans="1:8">
      <c r="A44" t="s">
        <v>72</v>
      </c>
      <c r="B44" t="s">
        <v>299</v>
      </c>
      <c r="C44">
        <v>0.122</v>
      </c>
      <c r="D44">
        <v>1.05</v>
      </c>
      <c r="E44">
        <v>1E-3</v>
      </c>
      <c r="F44">
        <v>1.7999999999999999E-2</v>
      </c>
      <c r="G44">
        <v>1</v>
      </c>
      <c r="H44">
        <v>20</v>
      </c>
    </row>
    <row r="45" spans="1:8">
      <c r="A45" t="s">
        <v>72</v>
      </c>
      <c r="B45" t="s">
        <v>300</v>
      </c>
      <c r="C45">
        <v>0.23499999999999999</v>
      </c>
      <c r="D45">
        <v>23.4</v>
      </c>
      <c r="E45">
        <v>0.02</v>
      </c>
      <c r="F45">
        <v>0.18</v>
      </c>
      <c r="G45">
        <v>1</v>
      </c>
      <c r="H45">
        <v>20</v>
      </c>
    </row>
    <row r="46" spans="1:8">
      <c r="A46" t="s">
        <v>72</v>
      </c>
      <c r="B46" t="s">
        <v>301</v>
      </c>
      <c r="C46">
        <v>0.6</v>
      </c>
      <c r="E46">
        <v>0.1</v>
      </c>
      <c r="F46">
        <v>0.2</v>
      </c>
      <c r="G46">
        <v>1</v>
      </c>
      <c r="H46">
        <v>60</v>
      </c>
    </row>
    <row r="47" spans="1:8">
      <c r="A47" t="s">
        <v>72</v>
      </c>
      <c r="B47" t="s">
        <v>302</v>
      </c>
      <c r="C47">
        <v>0.77</v>
      </c>
      <c r="E47">
        <v>0.1</v>
      </c>
      <c r="F47">
        <v>0.4</v>
      </c>
      <c r="G47">
        <v>1</v>
      </c>
      <c r="H47">
        <v>60</v>
      </c>
    </row>
    <row r="48" spans="1:8">
      <c r="A48" t="s">
        <v>72</v>
      </c>
      <c r="B48" t="s">
        <v>303</v>
      </c>
      <c r="C48">
        <v>1.38</v>
      </c>
      <c r="D48">
        <v>43</v>
      </c>
      <c r="E48">
        <v>0.1</v>
      </c>
      <c r="F48">
        <v>1</v>
      </c>
      <c r="G48">
        <v>1</v>
      </c>
      <c r="H48">
        <v>60</v>
      </c>
    </row>
    <row r="49" spans="1:8">
      <c r="A49" t="s">
        <v>94</v>
      </c>
      <c r="B49" t="s">
        <v>304</v>
      </c>
      <c r="C49">
        <v>1.9</v>
      </c>
      <c r="D49">
        <v>110</v>
      </c>
      <c r="E49">
        <v>0.09</v>
      </c>
      <c r="F49">
        <v>6</v>
      </c>
      <c r="G49">
        <v>1</v>
      </c>
      <c r="H49">
        <v>20</v>
      </c>
    </row>
    <row r="50" spans="1:8">
      <c r="A50" t="s">
        <v>94</v>
      </c>
      <c r="B50" t="s">
        <v>305</v>
      </c>
      <c r="C50">
        <v>1</v>
      </c>
      <c r="D50">
        <v>45</v>
      </c>
      <c r="E50">
        <v>0.02</v>
      </c>
      <c r="F50">
        <v>0.2</v>
      </c>
      <c r="G50">
        <v>1</v>
      </c>
      <c r="H50">
        <v>20</v>
      </c>
    </row>
    <row r="51" spans="1:8">
      <c r="A51" t="s">
        <v>94</v>
      </c>
      <c r="B51" t="s">
        <v>306</v>
      </c>
      <c r="C51">
        <v>2.2999999999999998</v>
      </c>
      <c r="D51">
        <v>45</v>
      </c>
      <c r="E51">
        <v>0.02</v>
      </c>
      <c r="F51">
        <v>1.2</v>
      </c>
      <c r="G51">
        <v>1</v>
      </c>
      <c r="H51">
        <v>20</v>
      </c>
    </row>
    <row r="52" spans="1:8">
      <c r="A52" t="s">
        <v>94</v>
      </c>
      <c r="B52" t="s">
        <v>307</v>
      </c>
      <c r="C52">
        <v>2</v>
      </c>
      <c r="D52">
        <v>65</v>
      </c>
      <c r="E52">
        <v>0.05</v>
      </c>
      <c r="F52">
        <v>2</v>
      </c>
      <c r="G52">
        <v>1</v>
      </c>
      <c r="H52">
        <v>20</v>
      </c>
    </row>
    <row r="53" spans="1:8">
      <c r="A53" t="s">
        <v>94</v>
      </c>
      <c r="B53" t="s">
        <v>308</v>
      </c>
      <c r="C53">
        <v>3</v>
      </c>
      <c r="D53">
        <v>110</v>
      </c>
      <c r="E53">
        <v>0.09</v>
      </c>
      <c r="F53">
        <v>6</v>
      </c>
      <c r="G53">
        <v>1</v>
      </c>
      <c r="H53">
        <v>20</v>
      </c>
    </row>
    <row r="54" spans="1:8">
      <c r="A54" t="s">
        <v>309</v>
      </c>
      <c r="B54" t="s">
        <v>310</v>
      </c>
      <c r="C54">
        <v>0.35</v>
      </c>
      <c r="E54">
        <v>0.02</v>
      </c>
      <c r="F54">
        <v>0.1</v>
      </c>
      <c r="G54">
        <v>1</v>
      </c>
    </row>
    <row r="55" spans="1:8">
      <c r="A55" t="s">
        <v>309</v>
      </c>
      <c r="B55" t="s">
        <v>311</v>
      </c>
      <c r="C55">
        <v>0.43</v>
      </c>
      <c r="E55">
        <v>2.5000000000000001E-2</v>
      </c>
      <c r="F55">
        <v>0.2</v>
      </c>
      <c r="G55">
        <v>1</v>
      </c>
    </row>
    <row r="56" spans="1:8">
      <c r="A56" t="s">
        <v>309</v>
      </c>
      <c r="B56" t="s">
        <v>312</v>
      </c>
      <c r="C56">
        <v>0.8</v>
      </c>
      <c r="E56">
        <v>0.5</v>
      </c>
      <c r="F56">
        <v>0.5</v>
      </c>
      <c r="G56">
        <v>1</v>
      </c>
    </row>
    <row r="57" spans="1:8">
      <c r="A57" t="s">
        <v>309</v>
      </c>
      <c r="B57" t="s">
        <v>310</v>
      </c>
      <c r="C57">
        <v>1.2</v>
      </c>
      <c r="E57">
        <v>0.1</v>
      </c>
      <c r="F57">
        <v>1</v>
      </c>
      <c r="G57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workbookViewId="0">
      <selection activeCell="A12" sqref="A12"/>
    </sheetView>
  </sheetViews>
  <sheetFormatPr defaultColWidth="8.8554687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32</v>
      </c>
      <c r="E1" s="1" t="s">
        <v>313</v>
      </c>
      <c r="F1" s="1" t="s">
        <v>314</v>
      </c>
      <c r="G1" s="1" t="s">
        <v>36</v>
      </c>
    </row>
    <row r="2" spans="1:7">
      <c r="A2" t="s">
        <v>8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>
      <c r="A3" t="s">
        <v>12</v>
      </c>
      <c r="B3" t="s">
        <v>315</v>
      </c>
      <c r="C3">
        <v>0.39500000000000002</v>
      </c>
      <c r="D3">
        <v>3</v>
      </c>
      <c r="E3">
        <v>15</v>
      </c>
      <c r="F3">
        <v>1</v>
      </c>
    </row>
    <row r="4" spans="1:7">
      <c r="A4" t="s">
        <v>316</v>
      </c>
      <c r="B4" t="s">
        <v>317</v>
      </c>
      <c r="C4">
        <v>1.6500000000000001E-2</v>
      </c>
      <c r="D4">
        <v>0.49</v>
      </c>
      <c r="E4">
        <v>0.2</v>
      </c>
      <c r="F4">
        <v>1</v>
      </c>
      <c r="G4">
        <v>24</v>
      </c>
    </row>
    <row r="5" spans="1:7">
      <c r="A5" t="s">
        <v>318</v>
      </c>
      <c r="B5" t="s">
        <v>319</v>
      </c>
      <c r="C5">
        <v>2.3E-2</v>
      </c>
      <c r="D5">
        <v>0.38</v>
      </c>
      <c r="E5">
        <v>0.3</v>
      </c>
      <c r="F5">
        <v>1</v>
      </c>
      <c r="G5">
        <v>24</v>
      </c>
    </row>
    <row r="6" spans="1:7">
      <c r="A6" t="s">
        <v>316</v>
      </c>
      <c r="B6" t="s">
        <v>320</v>
      </c>
      <c r="C6">
        <v>2.3E-2</v>
      </c>
      <c r="D6">
        <v>0.63</v>
      </c>
      <c r="E6">
        <v>0.4</v>
      </c>
      <c r="F6">
        <v>1</v>
      </c>
      <c r="G6">
        <v>24</v>
      </c>
    </row>
    <row r="7" spans="1:7">
      <c r="A7" t="s">
        <v>318</v>
      </c>
      <c r="B7" t="s">
        <v>321</v>
      </c>
      <c r="C7">
        <v>3.1E-2</v>
      </c>
      <c r="D7">
        <v>0.56000000000000005</v>
      </c>
      <c r="E7">
        <v>0.6</v>
      </c>
      <c r="F7">
        <v>1</v>
      </c>
      <c r="G7">
        <v>24</v>
      </c>
    </row>
    <row r="8" spans="1:7">
      <c r="A8" t="s">
        <v>318</v>
      </c>
      <c r="B8" t="s">
        <v>322</v>
      </c>
      <c r="C8">
        <v>2.8000000000000001E-2</v>
      </c>
      <c r="D8">
        <v>0.56000000000000005</v>
      </c>
      <c r="E8">
        <v>0.8</v>
      </c>
      <c r="F8">
        <v>1</v>
      </c>
      <c r="G8">
        <v>24</v>
      </c>
    </row>
    <row r="9" spans="1:7">
      <c r="A9" t="s">
        <v>318</v>
      </c>
      <c r="B9" t="s">
        <v>323</v>
      </c>
      <c r="C9">
        <v>3.6999999999999998E-2</v>
      </c>
      <c r="D9">
        <v>0.67</v>
      </c>
      <c r="E9">
        <v>1</v>
      </c>
      <c r="F9">
        <v>1</v>
      </c>
      <c r="G9">
        <v>24</v>
      </c>
    </row>
    <row r="10" spans="1:7">
      <c r="A10" t="s">
        <v>318</v>
      </c>
      <c r="B10" t="s">
        <v>324</v>
      </c>
      <c r="C10">
        <v>4.4999999999999998E-2</v>
      </c>
      <c r="D10">
        <v>0.68</v>
      </c>
      <c r="E10">
        <v>1.2</v>
      </c>
      <c r="F10">
        <v>1</v>
      </c>
      <c r="G10">
        <v>24</v>
      </c>
    </row>
    <row r="11" spans="1:7">
      <c r="A11" t="s">
        <v>318</v>
      </c>
      <c r="B11" t="s">
        <v>325</v>
      </c>
      <c r="C11">
        <v>5.3999999999999999E-2</v>
      </c>
      <c r="D11">
        <v>0.77</v>
      </c>
      <c r="E11">
        <v>2</v>
      </c>
      <c r="F11">
        <v>1</v>
      </c>
      <c r="G11">
        <v>24</v>
      </c>
    </row>
    <row r="12" spans="1:7">
      <c r="A12" t="s">
        <v>105</v>
      </c>
      <c r="B12" t="s">
        <v>326</v>
      </c>
      <c r="E12">
        <v>0.33</v>
      </c>
      <c r="F12">
        <v>3</v>
      </c>
    </row>
    <row r="13" spans="1:7">
      <c r="A13" t="s">
        <v>105</v>
      </c>
      <c r="B13" t="s">
        <v>327</v>
      </c>
      <c r="C13">
        <v>0.106</v>
      </c>
      <c r="E13">
        <v>0.13900000000000001</v>
      </c>
      <c r="F13">
        <v>1</v>
      </c>
    </row>
    <row r="14" spans="1:7">
      <c r="A14" t="s">
        <v>328</v>
      </c>
      <c r="B14" t="s">
        <v>329</v>
      </c>
      <c r="C14">
        <v>0.19600000000000001</v>
      </c>
      <c r="D14">
        <v>1.2</v>
      </c>
      <c r="E14">
        <v>0.2</v>
      </c>
      <c r="F14">
        <v>3</v>
      </c>
    </row>
    <row r="15" spans="1:7">
      <c r="A15" t="s">
        <v>109</v>
      </c>
      <c r="B15" t="s">
        <v>330</v>
      </c>
      <c r="C15">
        <v>0.5</v>
      </c>
      <c r="D15">
        <v>1</v>
      </c>
      <c r="E15">
        <v>12</v>
      </c>
      <c r="F15">
        <v>1</v>
      </c>
    </row>
    <row r="16" spans="1:7">
      <c r="A16" t="s">
        <v>66</v>
      </c>
      <c r="B16" t="s">
        <v>331</v>
      </c>
      <c r="C16">
        <v>0.20499999999999999</v>
      </c>
      <c r="D16">
        <v>0.4</v>
      </c>
      <c r="E16">
        <v>0.3</v>
      </c>
      <c r="F16">
        <v>3</v>
      </c>
    </row>
    <row r="17" spans="1:6">
      <c r="A17" t="s">
        <v>66</v>
      </c>
      <c r="B17" t="s">
        <v>332</v>
      </c>
      <c r="C17">
        <v>0.215</v>
      </c>
      <c r="D17">
        <v>2.5</v>
      </c>
      <c r="E17">
        <v>5</v>
      </c>
      <c r="F17">
        <v>1</v>
      </c>
    </row>
    <row r="18" spans="1:6">
      <c r="A18" t="s">
        <v>107</v>
      </c>
      <c r="B18" t="s">
        <v>333</v>
      </c>
      <c r="C18">
        <v>0.03</v>
      </c>
      <c r="D18">
        <v>0.25</v>
      </c>
      <c r="E18">
        <v>0.28999999999999998</v>
      </c>
      <c r="F18">
        <v>1</v>
      </c>
    </row>
    <row r="19" spans="1:6">
      <c r="A19" t="s">
        <v>107</v>
      </c>
      <c r="B19" t="s">
        <v>334</v>
      </c>
      <c r="C19">
        <v>5.2999999999999999E-2</v>
      </c>
      <c r="D19">
        <v>0.8</v>
      </c>
      <c r="E19">
        <v>1.19</v>
      </c>
      <c r="F19">
        <v>1</v>
      </c>
    </row>
    <row r="20" spans="1:6">
      <c r="A20" t="s">
        <v>107</v>
      </c>
      <c r="B20" t="s">
        <v>335</v>
      </c>
      <c r="C20">
        <v>5.2999999999999999E-2</v>
      </c>
      <c r="D20">
        <v>1.2</v>
      </c>
      <c r="E20">
        <v>1.6</v>
      </c>
      <c r="F20">
        <v>1</v>
      </c>
    </row>
    <row r="21" spans="1:6">
      <c r="A21" t="s">
        <v>72</v>
      </c>
      <c r="B21" t="s">
        <v>336</v>
      </c>
      <c r="C21">
        <v>0.82499999999999996</v>
      </c>
      <c r="E21">
        <v>48</v>
      </c>
      <c r="F21">
        <v>1</v>
      </c>
    </row>
    <row r="22" spans="1:6">
      <c r="A22" t="s">
        <v>72</v>
      </c>
      <c r="B22" t="s">
        <v>337</v>
      </c>
      <c r="C22">
        <v>0.4</v>
      </c>
      <c r="E22">
        <v>19</v>
      </c>
      <c r="F22">
        <v>1</v>
      </c>
    </row>
    <row r="23" spans="1:6">
      <c r="A23" t="s">
        <v>111</v>
      </c>
      <c r="B23" t="s">
        <v>338</v>
      </c>
      <c r="C23">
        <v>1.2999999999999999E-2</v>
      </c>
      <c r="D23">
        <v>0.1925</v>
      </c>
      <c r="E23">
        <v>0.2</v>
      </c>
      <c r="F23">
        <v>1</v>
      </c>
    </row>
    <row r="24" spans="1:6">
      <c r="A24" t="s">
        <v>111</v>
      </c>
      <c r="B24" t="s">
        <v>339</v>
      </c>
      <c r="C24">
        <v>8.9999999999999993E-3</v>
      </c>
      <c r="D24">
        <v>0.27500000000000002</v>
      </c>
      <c r="E24">
        <v>0.5</v>
      </c>
      <c r="F24">
        <v>1</v>
      </c>
    </row>
    <row r="25" spans="1:6">
      <c r="B25" t="s">
        <v>340</v>
      </c>
      <c r="C25">
        <v>3.5000000000000003E-2</v>
      </c>
      <c r="D25">
        <v>0.5</v>
      </c>
      <c r="E25">
        <v>0.7</v>
      </c>
      <c r="F25">
        <v>1</v>
      </c>
    </row>
    <row r="26" spans="1:6">
      <c r="B26" t="s">
        <v>341</v>
      </c>
      <c r="C26">
        <v>6.5000000000000002E-2</v>
      </c>
      <c r="D26">
        <v>0.23</v>
      </c>
      <c r="E26">
        <v>1</v>
      </c>
      <c r="F26">
        <v>1</v>
      </c>
    </row>
    <row r="27" spans="1:6">
      <c r="B27" t="s">
        <v>342</v>
      </c>
      <c r="C27">
        <v>9.7000000000000003E-2</v>
      </c>
      <c r="D27">
        <v>0.4</v>
      </c>
      <c r="E27">
        <v>1.5</v>
      </c>
      <c r="F27">
        <v>1</v>
      </c>
    </row>
    <row r="28" spans="1:6">
      <c r="B28" t="s">
        <v>343</v>
      </c>
      <c r="C28">
        <v>0.1</v>
      </c>
      <c r="D28">
        <v>0.5</v>
      </c>
      <c r="E28">
        <v>2</v>
      </c>
      <c r="F28">
        <v>1</v>
      </c>
    </row>
    <row r="29" spans="1:6">
      <c r="B29" t="s">
        <v>344</v>
      </c>
      <c r="C29">
        <v>0.15</v>
      </c>
      <c r="D29">
        <v>0.7</v>
      </c>
      <c r="E29">
        <v>3</v>
      </c>
      <c r="F29">
        <v>1</v>
      </c>
    </row>
    <row r="30" spans="1:6">
      <c r="B30" t="s">
        <v>345</v>
      </c>
      <c r="C30">
        <v>0.15</v>
      </c>
      <c r="D30">
        <v>0.6</v>
      </c>
      <c r="E30">
        <v>4</v>
      </c>
      <c r="F30">
        <v>1</v>
      </c>
    </row>
    <row r="31" spans="1:6">
      <c r="B31" t="s">
        <v>346</v>
      </c>
      <c r="C31">
        <v>0.245</v>
      </c>
      <c r="D31">
        <v>0.74</v>
      </c>
      <c r="E31">
        <v>5</v>
      </c>
      <c r="F31">
        <v>1</v>
      </c>
    </row>
    <row r="32" spans="1:6">
      <c r="B32" t="s">
        <v>347</v>
      </c>
      <c r="C32">
        <v>0.31</v>
      </c>
      <c r="D32">
        <v>0.77</v>
      </c>
      <c r="E32">
        <v>5</v>
      </c>
      <c r="F32">
        <v>1</v>
      </c>
    </row>
    <row r="33" spans="2:6">
      <c r="B33" t="s">
        <v>348</v>
      </c>
      <c r="C33">
        <v>0.27500000000000002</v>
      </c>
      <c r="D33">
        <v>0.79</v>
      </c>
      <c r="E33">
        <v>6</v>
      </c>
      <c r="F33">
        <v>1</v>
      </c>
    </row>
    <row r="34" spans="2:6">
      <c r="B34" t="s">
        <v>349</v>
      </c>
      <c r="C34">
        <v>0.4</v>
      </c>
      <c r="D34">
        <v>0.9</v>
      </c>
      <c r="E34">
        <v>7</v>
      </c>
      <c r="F34">
        <v>1</v>
      </c>
    </row>
    <row r="35" spans="2:6">
      <c r="B35" t="s">
        <v>350</v>
      </c>
      <c r="C35">
        <v>0.375</v>
      </c>
      <c r="D35">
        <v>0.66500000000000004</v>
      </c>
      <c r="E35">
        <v>10</v>
      </c>
      <c r="F35">
        <v>1</v>
      </c>
    </row>
    <row r="36" spans="2:6">
      <c r="B36" t="s">
        <v>351</v>
      </c>
      <c r="C36">
        <v>0.42499999999999999</v>
      </c>
      <c r="D36">
        <v>0.85</v>
      </c>
      <c r="E36">
        <v>10</v>
      </c>
      <c r="F36">
        <v>1</v>
      </c>
    </row>
    <row r="37" spans="2:6">
      <c r="B37" t="s">
        <v>352</v>
      </c>
      <c r="C37">
        <v>0.47499999999999998</v>
      </c>
      <c r="D37">
        <v>1.2749999999999999</v>
      </c>
      <c r="E37">
        <v>15</v>
      </c>
      <c r="F37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/>
  </sheetViews>
  <sheetFormatPr defaultColWidth="8.85546875" defaultRowHeight="15"/>
  <sheetData>
    <row r="1" spans="1:9">
      <c r="A1" s="1" t="s">
        <v>0</v>
      </c>
      <c r="B1" s="1" t="s">
        <v>1</v>
      </c>
      <c r="C1" s="1" t="s">
        <v>115</v>
      </c>
      <c r="D1" s="1" t="s">
        <v>2</v>
      </c>
      <c r="E1" s="1" t="s">
        <v>116</v>
      </c>
      <c r="F1" s="1" t="s">
        <v>353</v>
      </c>
      <c r="G1" s="1" t="s">
        <v>354</v>
      </c>
      <c r="H1" s="1" t="s">
        <v>118</v>
      </c>
      <c r="I1" s="1" t="s">
        <v>100</v>
      </c>
    </row>
    <row r="2" spans="1:9">
      <c r="A2" t="s">
        <v>8</v>
      </c>
      <c r="B2" t="s">
        <v>8</v>
      </c>
      <c r="C2" t="s">
        <v>8</v>
      </c>
      <c r="D2" t="s">
        <v>9</v>
      </c>
      <c r="E2" t="s">
        <v>9</v>
      </c>
      <c r="F2" t="s">
        <v>11</v>
      </c>
      <c r="G2" t="s">
        <v>9</v>
      </c>
      <c r="H2" t="s">
        <v>9</v>
      </c>
      <c r="I2" t="s">
        <v>9</v>
      </c>
    </row>
    <row r="3" spans="1:9">
      <c r="A3" t="s">
        <v>29</v>
      </c>
      <c r="B3" t="s">
        <v>355</v>
      </c>
      <c r="C3" t="s">
        <v>356</v>
      </c>
      <c r="D3">
        <v>1.7999999999999999E-2</v>
      </c>
      <c r="E3">
        <v>0.28000000000000003</v>
      </c>
      <c r="F3">
        <v>1</v>
      </c>
      <c r="G3">
        <v>1</v>
      </c>
      <c r="I3">
        <v>24</v>
      </c>
    </row>
    <row r="4" spans="1:9">
      <c r="A4" t="s">
        <v>357</v>
      </c>
      <c r="B4" t="s">
        <v>358</v>
      </c>
      <c r="C4" t="s">
        <v>359</v>
      </c>
      <c r="D4">
        <v>0.05</v>
      </c>
      <c r="F4">
        <v>1</v>
      </c>
      <c r="G4">
        <v>0.75</v>
      </c>
    </row>
    <row r="5" spans="1:9">
      <c r="A5" t="s">
        <v>357</v>
      </c>
      <c r="B5" t="s">
        <v>360</v>
      </c>
      <c r="C5" t="s">
        <v>359</v>
      </c>
      <c r="D5">
        <v>1.5</v>
      </c>
      <c r="E5">
        <v>1</v>
      </c>
      <c r="G5">
        <v>1.4999999999999999E-2</v>
      </c>
      <c r="I5">
        <v>20</v>
      </c>
    </row>
    <row r="6" spans="1:9">
      <c r="A6" t="s">
        <v>81</v>
      </c>
      <c r="B6" t="s">
        <v>361</v>
      </c>
      <c r="C6" t="s">
        <v>362</v>
      </c>
      <c r="D6">
        <v>0.12</v>
      </c>
      <c r="E6">
        <v>0.15</v>
      </c>
      <c r="F6">
        <v>1</v>
      </c>
      <c r="G6">
        <v>1</v>
      </c>
      <c r="H6">
        <v>2</v>
      </c>
      <c r="I6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/>
  </sheetViews>
  <sheetFormatPr defaultColWidth="8.85546875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32</v>
      </c>
      <c r="E1" s="1" t="s">
        <v>363</v>
      </c>
      <c r="F1" s="1" t="s">
        <v>36</v>
      </c>
    </row>
    <row r="2" spans="1:6">
      <c r="A2" t="s">
        <v>8</v>
      </c>
      <c r="B2" t="s">
        <v>8</v>
      </c>
      <c r="C2" t="s">
        <v>9</v>
      </c>
      <c r="D2" t="s">
        <v>9</v>
      </c>
      <c r="E2" t="s">
        <v>9</v>
      </c>
      <c r="F2" t="s">
        <v>9</v>
      </c>
    </row>
    <row r="3" spans="1:6">
      <c r="A3" t="s">
        <v>12</v>
      </c>
      <c r="B3" t="s">
        <v>364</v>
      </c>
      <c r="C3">
        <v>0.16</v>
      </c>
      <c r="E3">
        <v>5</v>
      </c>
      <c r="F3">
        <v>10</v>
      </c>
    </row>
    <row r="4" spans="1:6">
      <c r="A4" t="s">
        <v>365</v>
      </c>
      <c r="B4" t="s">
        <v>366</v>
      </c>
      <c r="C4">
        <v>0.4</v>
      </c>
      <c r="D4">
        <v>1.4</v>
      </c>
      <c r="E4">
        <v>15</v>
      </c>
      <c r="F4">
        <v>20</v>
      </c>
    </row>
    <row r="5" spans="1:6">
      <c r="A5" t="s">
        <v>367</v>
      </c>
      <c r="B5" t="s">
        <v>368</v>
      </c>
      <c r="C5">
        <v>0.39400000000000002</v>
      </c>
      <c r="D5">
        <v>2.4</v>
      </c>
      <c r="E5">
        <v>1.5</v>
      </c>
    </row>
    <row r="6" spans="1:6">
      <c r="A6" t="s">
        <v>369</v>
      </c>
      <c r="B6" t="s">
        <v>370</v>
      </c>
      <c r="C6">
        <v>1.2</v>
      </c>
      <c r="D6">
        <v>8</v>
      </c>
      <c r="E6">
        <v>15</v>
      </c>
    </row>
    <row r="7" spans="1:6">
      <c r="A7" t="s">
        <v>369</v>
      </c>
      <c r="B7" t="s">
        <v>371</v>
      </c>
      <c r="C7">
        <v>1.1000000000000001</v>
      </c>
      <c r="D7">
        <v>8</v>
      </c>
      <c r="E7">
        <v>15</v>
      </c>
    </row>
    <row r="8" spans="1:6">
      <c r="A8" t="s">
        <v>105</v>
      </c>
      <c r="B8">
        <v>0.28499999999999998</v>
      </c>
      <c r="C8">
        <v>3</v>
      </c>
      <c r="D8">
        <v>10</v>
      </c>
      <c r="E8">
        <v>20</v>
      </c>
      <c r="F8">
        <v>0.28499999999999998</v>
      </c>
    </row>
    <row r="9" spans="1:6">
      <c r="A9" t="s">
        <v>372</v>
      </c>
      <c r="B9" t="s">
        <v>373</v>
      </c>
      <c r="C9">
        <v>3.1E-2</v>
      </c>
      <c r="D9">
        <v>0.9</v>
      </c>
    </row>
    <row r="10" spans="1:6">
      <c r="A10" t="s">
        <v>374</v>
      </c>
      <c r="B10" t="s">
        <v>375</v>
      </c>
      <c r="C10">
        <v>2.4E-2</v>
      </c>
      <c r="D10">
        <v>0.124</v>
      </c>
      <c r="E10">
        <v>10</v>
      </c>
      <c r="F10">
        <v>30</v>
      </c>
    </row>
    <row r="11" spans="1:6">
      <c r="A11" t="s">
        <v>376</v>
      </c>
      <c r="B11" t="s">
        <v>377</v>
      </c>
      <c r="C11">
        <v>2.5000000000000001E-2</v>
      </c>
      <c r="D11">
        <v>0.1</v>
      </c>
      <c r="E11">
        <v>1.5</v>
      </c>
      <c r="F11">
        <v>40</v>
      </c>
    </row>
    <row r="12" spans="1:6">
      <c r="A12" t="s">
        <v>378</v>
      </c>
      <c r="B12" t="s">
        <v>379</v>
      </c>
      <c r="C12">
        <v>0.09</v>
      </c>
      <c r="D12">
        <v>0.5</v>
      </c>
      <c r="E12">
        <v>5</v>
      </c>
      <c r="F12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>
      <selection activeCell="F10" sqref="F10"/>
    </sheetView>
  </sheetViews>
  <sheetFormatPr defaultColWidth="8.85546875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380</v>
      </c>
      <c r="E1" s="1" t="s">
        <v>381</v>
      </c>
      <c r="F1" s="1" t="s">
        <v>36</v>
      </c>
    </row>
    <row r="2" spans="1:6">
      <c r="A2" t="s">
        <v>8</v>
      </c>
      <c r="B2" t="s">
        <v>8</v>
      </c>
      <c r="C2" t="s">
        <v>9</v>
      </c>
      <c r="D2" t="s">
        <v>9</v>
      </c>
      <c r="E2" t="s">
        <v>10</v>
      </c>
      <c r="F2" t="s">
        <v>9</v>
      </c>
    </row>
    <row r="3" spans="1:6">
      <c r="A3" t="s">
        <v>369</v>
      </c>
      <c r="B3" t="s">
        <v>382</v>
      </c>
      <c r="C3">
        <v>3.2</v>
      </c>
      <c r="D3">
        <v>12.5</v>
      </c>
      <c r="E3" t="s">
        <v>383</v>
      </c>
      <c r="F3">
        <v>50</v>
      </c>
    </row>
    <row r="4" spans="1:6">
      <c r="A4" t="s">
        <v>384</v>
      </c>
      <c r="B4" t="s">
        <v>385</v>
      </c>
      <c r="C4">
        <v>1.1000000000000001</v>
      </c>
      <c r="D4">
        <v>10.3</v>
      </c>
      <c r="E4" t="s">
        <v>386</v>
      </c>
      <c r="F4">
        <v>25</v>
      </c>
    </row>
    <row r="5" spans="1:6">
      <c r="A5" t="s">
        <v>384</v>
      </c>
      <c r="B5" t="s">
        <v>387</v>
      </c>
      <c r="C5">
        <v>0.8</v>
      </c>
      <c r="D5">
        <v>10</v>
      </c>
      <c r="E5" t="s">
        <v>388</v>
      </c>
      <c r="F5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>
      <selection activeCell="F3" sqref="F3"/>
    </sheetView>
  </sheetViews>
  <sheetFormatPr defaultColWidth="8.85546875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32</v>
      </c>
      <c r="E1" s="1" t="s">
        <v>389</v>
      </c>
      <c r="F1" s="3" t="s">
        <v>36</v>
      </c>
    </row>
    <row r="2" spans="1:6">
      <c r="A2" t="s">
        <v>8</v>
      </c>
      <c r="B2" t="s">
        <v>8</v>
      </c>
      <c r="C2" t="s">
        <v>9</v>
      </c>
      <c r="D2" t="s">
        <v>9</v>
      </c>
      <c r="E2" t="s">
        <v>9</v>
      </c>
      <c r="F2" t="s">
        <v>9</v>
      </c>
    </row>
    <row r="3" spans="1:6">
      <c r="A3" t="s">
        <v>390</v>
      </c>
      <c r="B3" t="s">
        <v>391</v>
      </c>
      <c r="C3">
        <v>3</v>
      </c>
      <c r="D3">
        <v>30</v>
      </c>
      <c r="E3">
        <v>1000</v>
      </c>
    </row>
    <row r="4" spans="1:6">
      <c r="A4" t="s">
        <v>392</v>
      </c>
      <c r="B4" t="s">
        <v>393</v>
      </c>
      <c r="C4">
        <v>2.1999999999999999E-2</v>
      </c>
      <c r="D4">
        <v>0.7</v>
      </c>
      <c r="E4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Tanmay Kommalapati</cp:lastModifiedBy>
  <cp:revision/>
  <dcterms:created xsi:type="dcterms:W3CDTF">2025-08-02T05:30:51Z</dcterms:created>
  <dcterms:modified xsi:type="dcterms:W3CDTF">2025-08-09T08:24:30Z</dcterms:modified>
  <cp:category/>
  <cp:contentStatus/>
</cp:coreProperties>
</file>